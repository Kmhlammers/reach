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mc:AlternateContent xmlns:mc="http://schemas.openxmlformats.org/markup-compatibility/2006">
    <mc:Choice Requires="x15">
      <x15ac:absPath xmlns:x15ac="http://schemas.microsoft.com/office/spreadsheetml/2010/11/ac" url="F:\本地磁盘 (E)\2023\oct\23\kapimex\"/>
    </mc:Choice>
  </mc:AlternateContent>
  <xr:revisionPtr revIDLastSave="0" documentId="8_{E3F448B7-FE6C-4040-B6A1-411F784A6C7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raffin" sheetId="1" r:id="rId1"/>
    <sheet name="polythylene wax" sheetId="5" r:id="rId2"/>
    <sheet name="cotton" sheetId="2" r:id="rId3"/>
    <sheet name="Pigment" sheetId="3" r:id="rId4"/>
    <sheet name="Cinnamaldehyde" sheetId="4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5" l="1"/>
  <c r="G16" i="5"/>
  <c r="G17" i="5"/>
  <c r="G24" i="1"/>
  <c r="G17" i="1"/>
  <c r="G16" i="1"/>
  <c r="I16" i="1" s="1"/>
  <c r="G15" i="1"/>
  <c r="I15" i="1" s="1"/>
  <c r="G14" i="1"/>
  <c r="I14" i="1" s="1"/>
  <c r="G5" i="1"/>
  <c r="I5" i="1" s="1"/>
  <c r="G6" i="1"/>
  <c r="I6" i="1" s="1"/>
  <c r="G29" i="4" l="1"/>
  <c r="I29" i="4" s="1"/>
  <c r="I28" i="4"/>
  <c r="G28" i="4"/>
  <c r="G27" i="4"/>
  <c r="I27" i="4" s="1"/>
  <c r="G26" i="4"/>
  <c r="I26" i="4" s="1"/>
  <c r="G25" i="4"/>
  <c r="I25" i="4" s="1"/>
  <c r="G24" i="4"/>
  <c r="I24" i="4" s="1"/>
  <c r="G23" i="4"/>
  <c r="I23" i="4" s="1"/>
  <c r="G22" i="4"/>
  <c r="I22" i="4" s="1"/>
  <c r="G21" i="4"/>
  <c r="I21" i="4" s="1"/>
  <c r="I20" i="4"/>
  <c r="G20" i="4"/>
  <c r="G19" i="4"/>
  <c r="I19" i="4" s="1"/>
  <c r="I18" i="4"/>
  <c r="G18" i="4"/>
  <c r="G17" i="4"/>
  <c r="I17" i="4" s="1"/>
  <c r="G16" i="4"/>
  <c r="I16" i="4" s="1"/>
  <c r="G15" i="4"/>
  <c r="I15" i="4" s="1"/>
  <c r="G14" i="4"/>
  <c r="I14" i="4" s="1"/>
  <c r="G13" i="4"/>
  <c r="I13" i="4" s="1"/>
  <c r="I12" i="4"/>
  <c r="G12" i="4"/>
  <c r="G11" i="4"/>
  <c r="I11" i="4" s="1"/>
  <c r="I10" i="4"/>
  <c r="G10" i="4"/>
  <c r="G9" i="4"/>
  <c r="I9" i="4" s="1"/>
  <c r="G8" i="4"/>
  <c r="I8" i="4" s="1"/>
  <c r="G7" i="4"/>
  <c r="I7" i="4" s="1"/>
  <c r="G6" i="4"/>
  <c r="I6" i="4" s="1"/>
  <c r="G5" i="4"/>
  <c r="I5" i="4" s="1"/>
  <c r="G29" i="3"/>
  <c r="I29" i="3" s="1"/>
  <c r="G28" i="3"/>
  <c r="I28" i="3" s="1"/>
  <c r="G27" i="3"/>
  <c r="I27" i="3" s="1"/>
  <c r="I26" i="3"/>
  <c r="G26" i="3"/>
  <c r="G25" i="3"/>
  <c r="I25" i="3" s="1"/>
  <c r="G24" i="3"/>
  <c r="I24" i="3" s="1"/>
  <c r="G23" i="3"/>
  <c r="I23" i="3" s="1"/>
  <c r="G22" i="3"/>
  <c r="I22" i="3" s="1"/>
  <c r="G21" i="3"/>
  <c r="I21" i="3" s="1"/>
  <c r="G20" i="3"/>
  <c r="I20" i="3" s="1"/>
  <c r="G19" i="3"/>
  <c r="I19" i="3" s="1"/>
  <c r="G18" i="3"/>
  <c r="I18" i="3" s="1"/>
  <c r="G17" i="3"/>
  <c r="I17" i="3" s="1"/>
  <c r="G16" i="3"/>
  <c r="I16" i="3" s="1"/>
  <c r="G15" i="3"/>
  <c r="I15" i="3" s="1"/>
  <c r="G14" i="3"/>
  <c r="I14" i="3" s="1"/>
  <c r="G13" i="3"/>
  <c r="I13" i="3" s="1"/>
  <c r="G12" i="3"/>
  <c r="I12" i="3" s="1"/>
  <c r="G11" i="3"/>
  <c r="I11" i="3" s="1"/>
  <c r="G10" i="3"/>
  <c r="I10" i="3" s="1"/>
  <c r="G9" i="3"/>
  <c r="I9" i="3" s="1"/>
  <c r="G8" i="3"/>
  <c r="I8" i="3" s="1"/>
  <c r="G7" i="3"/>
  <c r="I7" i="3" s="1"/>
  <c r="I6" i="3"/>
  <c r="G6" i="3"/>
  <c r="G5" i="3"/>
  <c r="I5" i="3" s="1"/>
  <c r="G29" i="2"/>
  <c r="I29" i="2" s="1"/>
  <c r="G28" i="2"/>
  <c r="I28" i="2" s="1"/>
  <c r="G27" i="2"/>
  <c r="I27" i="2" s="1"/>
  <c r="G26" i="2"/>
  <c r="I26" i="2" s="1"/>
  <c r="G25" i="2"/>
  <c r="I25" i="2" s="1"/>
  <c r="G24" i="2"/>
  <c r="I24" i="2" s="1"/>
  <c r="G23" i="2"/>
  <c r="I23" i="2" s="1"/>
  <c r="G22" i="2"/>
  <c r="I22" i="2" s="1"/>
  <c r="G21" i="2"/>
  <c r="I21" i="2" s="1"/>
  <c r="G20" i="2"/>
  <c r="I20" i="2" s="1"/>
  <c r="G19" i="2"/>
  <c r="I19" i="2" s="1"/>
  <c r="G18" i="2"/>
  <c r="I18" i="2" s="1"/>
  <c r="G17" i="2"/>
  <c r="I17" i="2" s="1"/>
  <c r="G16" i="2"/>
  <c r="I16" i="2" s="1"/>
  <c r="G15" i="2"/>
  <c r="I15" i="2" s="1"/>
  <c r="G14" i="2"/>
  <c r="I14" i="2" s="1"/>
  <c r="G13" i="2"/>
  <c r="I13" i="2" s="1"/>
  <c r="G12" i="2"/>
  <c r="I12" i="2" s="1"/>
  <c r="G11" i="2"/>
  <c r="I11" i="2" s="1"/>
  <c r="G10" i="2"/>
  <c r="I10" i="2" s="1"/>
  <c r="G9" i="2"/>
  <c r="I9" i="2" s="1"/>
  <c r="G8" i="2"/>
  <c r="I8" i="2" s="1"/>
  <c r="G7" i="2"/>
  <c r="I7" i="2" s="1"/>
  <c r="G6" i="2"/>
  <c r="I6" i="2" s="1"/>
  <c r="G5" i="2"/>
  <c r="I5" i="2" s="1"/>
  <c r="G29" i="5"/>
  <c r="I29" i="5" s="1"/>
  <c r="G28" i="5"/>
  <c r="I28" i="5" s="1"/>
  <c r="G27" i="5"/>
  <c r="I27" i="5" s="1"/>
  <c r="G26" i="5"/>
  <c r="I26" i="5" s="1"/>
  <c r="G25" i="5"/>
  <c r="I25" i="5" s="1"/>
  <c r="G24" i="5"/>
  <c r="I24" i="5" s="1"/>
  <c r="I23" i="5"/>
  <c r="G23" i="5"/>
  <c r="G22" i="5"/>
  <c r="I22" i="5" s="1"/>
  <c r="G21" i="5"/>
  <c r="I21" i="5" s="1"/>
  <c r="G20" i="5"/>
  <c r="I20" i="5" s="1"/>
  <c r="I19" i="5"/>
  <c r="G19" i="5"/>
  <c r="G18" i="5"/>
  <c r="I18" i="5" s="1"/>
  <c r="I17" i="5"/>
  <c r="I16" i="5"/>
  <c r="I15" i="5"/>
  <c r="G14" i="5"/>
  <c r="I14" i="5" s="1"/>
  <c r="G13" i="5"/>
  <c r="I13" i="5" s="1"/>
  <c r="G12" i="5"/>
  <c r="I12" i="5" s="1"/>
  <c r="G11" i="5"/>
  <c r="I11" i="5" s="1"/>
  <c r="G10" i="5"/>
  <c r="I10" i="5" s="1"/>
  <c r="G9" i="5"/>
  <c r="I9" i="5" s="1"/>
  <c r="G8" i="5"/>
  <c r="I8" i="5" s="1"/>
  <c r="G7" i="5"/>
  <c r="I7" i="5" s="1"/>
  <c r="G6" i="5"/>
  <c r="I6" i="5" s="1"/>
  <c r="G5" i="5"/>
  <c r="I5" i="5" s="1"/>
  <c r="G23" i="1"/>
  <c r="I23" i="1" s="1"/>
  <c r="I24" i="1"/>
  <c r="G25" i="1"/>
  <c r="I25" i="1" s="1"/>
  <c r="G26" i="1"/>
  <c r="I26" i="1" s="1"/>
  <c r="G27" i="1"/>
  <c r="I27" i="1" s="1"/>
  <c r="G28" i="1"/>
  <c r="I28" i="1" s="1"/>
  <c r="G29" i="1"/>
  <c r="I29" i="1" s="1"/>
  <c r="G7" i="1"/>
  <c r="I7" i="1" s="1"/>
  <c r="G8" i="1"/>
  <c r="I8" i="1" s="1"/>
  <c r="G9" i="1"/>
  <c r="I9" i="1" s="1"/>
  <c r="G10" i="1"/>
  <c r="I10" i="1" s="1"/>
  <c r="G11" i="1"/>
  <c r="I11" i="1" s="1"/>
  <c r="G12" i="1"/>
  <c r="I12" i="1" s="1"/>
  <c r="G13" i="1"/>
  <c r="I13" i="1" s="1"/>
  <c r="I17" i="1"/>
  <c r="G18" i="1"/>
  <c r="I18" i="1" s="1"/>
  <c r="G19" i="1"/>
  <c r="I19" i="1" s="1"/>
  <c r="G20" i="1"/>
  <c r="I20" i="1" s="1"/>
  <c r="G21" i="1"/>
  <c r="I21" i="1" s="1"/>
  <c r="G22" i="1"/>
  <c r="I22" i="1" s="1"/>
  <c r="I30" i="3" l="1"/>
  <c r="I31" i="3" s="1"/>
  <c r="I30" i="2"/>
  <c r="I31" i="2" s="1"/>
  <c r="I30" i="4"/>
  <c r="I31" i="4" s="1"/>
  <c r="I30" i="5"/>
  <c r="I31" i="5" s="1"/>
  <c r="I30" i="1"/>
  <c r="I31" i="1" s="1"/>
</calcChain>
</file>

<file path=xl/sharedStrings.xml><?xml version="1.0" encoding="utf-8"?>
<sst xmlns="http://schemas.openxmlformats.org/spreadsheetml/2006/main" count="240" uniqueCount="42">
  <si>
    <t>Supplier name</t>
  </si>
  <si>
    <t>TIANJIN NATIVE PRODUCE IMPORT AND EXPORT GROUP CORPORATION LIMITED</t>
    <phoneticPr fontId="6" type="noConversion"/>
  </si>
  <si>
    <t>Cas-number</t>
  </si>
  <si>
    <t>64742-51-4</t>
  </si>
  <si>
    <t>Substance name (A)</t>
  </si>
  <si>
    <t>Paraffin wax</t>
  </si>
  <si>
    <t>Item description</t>
  </si>
  <si>
    <t>KPM item number</t>
  </si>
  <si>
    <t>Supplier's  item number</t>
  </si>
  <si>
    <t>Supplier's invoice number</t>
  </si>
  <si>
    <r>
      <t xml:space="preserve">Net weight per item, 
</t>
    </r>
    <r>
      <rPr>
        <b/>
        <sz val="10"/>
        <color theme="0"/>
        <rFont val="Calibri"/>
        <family val="2"/>
      </rPr>
      <t>g</t>
    </r>
  </si>
  <si>
    <t>Percentage of “A” per item, %</t>
  </si>
  <si>
    <r>
      <t xml:space="preserve">Quantity of ”A” per item, 
</t>
    </r>
    <r>
      <rPr>
        <b/>
        <sz val="10"/>
        <color theme="0"/>
        <rFont val="Calibri"/>
        <family val="2"/>
      </rPr>
      <t>g</t>
    </r>
  </si>
  <si>
    <t>Amount of goods shipped</t>
  </si>
  <si>
    <r>
      <t xml:space="preserve">Total quantity of “A” in product, 
</t>
    </r>
    <r>
      <rPr>
        <b/>
        <sz val="10"/>
        <color theme="0"/>
        <rFont val="Calibri"/>
        <family val="2"/>
      </rPr>
      <t>kg</t>
    </r>
  </si>
  <si>
    <t>Dinner candle 12cm S/6</t>
    <phoneticPr fontId="6" type="noConversion"/>
  </si>
  <si>
    <t>NP2387300</t>
    <phoneticPr fontId="6" type="noConversion"/>
  </si>
  <si>
    <t>23/659</t>
    <phoneticPr fontId="6" type="noConversion"/>
  </si>
  <si>
    <t>23/659-1</t>
    <phoneticPr fontId="6" type="noConversion"/>
  </si>
  <si>
    <t>Dinner candles 3ass print</t>
    <phoneticPr fontId="6" type="noConversion"/>
  </si>
  <si>
    <t>NP2387330</t>
    <phoneticPr fontId="6" type="noConversion"/>
  </si>
  <si>
    <t>24/605 A</t>
    <phoneticPr fontId="6" type="noConversion"/>
  </si>
  <si>
    <t>24/605 B</t>
    <phoneticPr fontId="6" type="noConversion"/>
  </si>
  <si>
    <t>24/605-1 A</t>
    <phoneticPr fontId="6" type="noConversion"/>
  </si>
  <si>
    <t>24/605-1 B</t>
    <phoneticPr fontId="6" type="noConversion"/>
  </si>
  <si>
    <t>24/605-3</t>
    <phoneticPr fontId="6" type="noConversion"/>
  </si>
  <si>
    <t>24/608</t>
    <phoneticPr fontId="6" type="noConversion"/>
  </si>
  <si>
    <t>24/608-1</t>
    <phoneticPr fontId="6" type="noConversion"/>
  </si>
  <si>
    <t>NP2387410</t>
    <phoneticPr fontId="6" type="noConversion"/>
  </si>
  <si>
    <t>24/642</t>
    <phoneticPr fontId="6" type="noConversion"/>
  </si>
  <si>
    <t>24/642-1</t>
    <phoneticPr fontId="6" type="noConversion"/>
  </si>
  <si>
    <t>24/642-2</t>
    <phoneticPr fontId="6" type="noConversion"/>
  </si>
  <si>
    <t>24/642-3</t>
  </si>
  <si>
    <t>Total weight of substance (kg)</t>
  </si>
  <si>
    <t>Total weight of substance (tons)</t>
  </si>
  <si>
    <t>9002-88-4</t>
    <phoneticPr fontId="6" type="noConversion"/>
  </si>
  <si>
    <t>Polyethylene wax</t>
    <phoneticPr fontId="6" type="noConversion"/>
  </si>
  <si>
    <t>N/A</t>
    <phoneticPr fontId="6" type="noConversion"/>
  </si>
  <si>
    <t>Cotton</t>
    <phoneticPr fontId="6" type="noConversion"/>
  </si>
  <si>
    <t>Pigment</t>
    <phoneticPr fontId="6" type="noConversion"/>
  </si>
  <si>
    <t>XXXX</t>
  </si>
  <si>
    <t>Cinnamaldehyde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</si>
</sst>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);[Red]\(0\)"/>
    <numFmt numFmtId="165" formatCode="0.0000_);[Red]\(0.0000\)"/>
  </numFmts>
  <fonts count="8">
    <font>
      <sz val="11"/>
      <color theme="1"/>
      <name val="等线"/>
      <family val="2"/>
      <scheme val="minor"/>
    </font>
    <font>
      <sz val="18"/>
      <color rgb="FFFF0000"/>
      <name val="Arial"/>
      <family val="2"/>
    </font>
    <font>
      <sz val="10"/>
      <color theme="0"/>
      <name val="Calibri"/>
      <family val="2"/>
    </font>
    <font>
      <sz val="10"/>
      <color theme="1"/>
      <name val="Calibri"/>
      <family val="2"/>
    </font>
    <font>
      <b/>
      <sz val="10"/>
      <color theme="0"/>
      <name val="Calibri"/>
      <family val="2"/>
    </font>
    <font>
      <b/>
      <sz val="12"/>
      <color theme="4"/>
      <name val="Calibri"/>
      <family val="2"/>
    </font>
    <font>
      <sz val="9"/>
      <name val="等线"/>
      <family val="3"/>
      <charset val="134"/>
      <scheme val="minor"/>
    </font>
    <font>
      <sz val="11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left" vertical="center"/>
    </xf>
    <xf numFmtId="49" fontId="1" fillId="2" borderId="0" xfId="0" applyNumberFormat="1" applyFont="1" applyFill="1" applyAlignment="1">
      <alignment horizontal="left" vertical="center"/>
    </xf>
    <xf numFmtId="49" fontId="2" fillId="3" borderId="1" xfId="0" applyNumberFormat="1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165" fontId="2" fillId="3" borderId="1" xfId="0" applyNumberFormat="1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3" fillId="0" borderId="1" xfId="0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right" vertical="center"/>
    </xf>
    <xf numFmtId="165" fontId="3" fillId="0" borderId="1" xfId="0" applyNumberFormat="1" applyFont="1" applyBorder="1" applyAlignment="1">
      <alignment horizontal="right" vertical="center"/>
    </xf>
    <xf numFmtId="0" fontId="3" fillId="4" borderId="1" xfId="0" applyFont="1" applyFill="1" applyBorder="1" applyAlignment="1">
      <alignment horizontal="left" vertical="center"/>
    </xf>
    <xf numFmtId="49" fontId="3" fillId="4" borderId="1" xfId="0" applyNumberFormat="1" applyFont="1" applyFill="1" applyBorder="1" applyAlignment="1">
      <alignment horizontal="left" vertical="center"/>
    </xf>
    <xf numFmtId="165" fontId="3" fillId="4" borderId="1" xfId="0" applyNumberFormat="1" applyFont="1" applyFill="1" applyBorder="1" applyAlignment="1">
      <alignment horizontal="right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49" fontId="1" fillId="2" borderId="5" xfId="0" applyNumberFormat="1" applyFont="1" applyFill="1" applyBorder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49" fontId="7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zoomScale="120" zoomScaleNormal="120" workbookViewId="0">
      <selection activeCell="N14" sqref="N14"/>
    </sheetView>
  </sheetViews>
  <sheetFormatPr defaultRowHeight="13.9"/>
  <cols>
    <col min="1" max="1" width="23.25" bestFit="1" customWidth="1"/>
    <col min="2" max="2" width="10.5" customWidth="1"/>
    <col min="3" max="3" width="9.5" customWidth="1"/>
    <col min="4" max="4" width="10.75" customWidth="1"/>
    <col min="5" max="5" width="9.5" bestFit="1" customWidth="1"/>
    <col min="6" max="6" width="8.625" bestFit="1" customWidth="1"/>
    <col min="7" max="7" width="16.625" customWidth="1"/>
    <col min="8" max="8" width="12.75" bestFit="1" customWidth="1"/>
    <col min="9" max="9" width="11.75" customWidth="1"/>
  </cols>
  <sheetData>
    <row r="1" spans="1:9" ht="22.9">
      <c r="A1" s="1" t="s">
        <v>0</v>
      </c>
      <c r="B1" s="2"/>
      <c r="C1" s="19" t="s">
        <v>1</v>
      </c>
      <c r="D1" s="19"/>
      <c r="E1" s="19"/>
      <c r="F1" s="19"/>
      <c r="G1" s="19"/>
      <c r="H1" s="19"/>
      <c r="I1" s="19"/>
    </row>
    <row r="2" spans="1:9" ht="22.9">
      <c r="A2" s="2" t="s">
        <v>2</v>
      </c>
      <c r="B2" s="2"/>
      <c r="C2" s="18" t="s">
        <v>3</v>
      </c>
      <c r="D2" s="18"/>
      <c r="E2" s="18"/>
      <c r="F2" s="18"/>
      <c r="G2" s="18"/>
      <c r="H2" s="18"/>
      <c r="I2" s="18"/>
    </row>
    <row r="3" spans="1:9" ht="22.9">
      <c r="A3" s="1" t="s">
        <v>4</v>
      </c>
      <c r="B3" s="2"/>
      <c r="C3" s="17" t="s">
        <v>5</v>
      </c>
      <c r="D3" s="17"/>
      <c r="E3" s="17"/>
      <c r="F3" s="17"/>
      <c r="G3" s="17"/>
      <c r="H3" s="17"/>
      <c r="I3" s="17"/>
    </row>
    <row r="4" spans="1:9" ht="55.15">
      <c r="A4" s="3" t="s">
        <v>6</v>
      </c>
      <c r="B4" s="3" t="s">
        <v>7</v>
      </c>
      <c r="C4" s="4" t="s">
        <v>8</v>
      </c>
      <c r="D4" s="3" t="s">
        <v>9</v>
      </c>
      <c r="E4" s="4" t="s">
        <v>10</v>
      </c>
      <c r="F4" s="5" t="s">
        <v>11</v>
      </c>
      <c r="G4" s="5" t="s">
        <v>12</v>
      </c>
      <c r="H4" s="5" t="s">
        <v>13</v>
      </c>
      <c r="I4" s="6" t="s">
        <v>14</v>
      </c>
    </row>
    <row r="5" spans="1:9">
      <c r="A5" s="7" t="s">
        <v>15</v>
      </c>
      <c r="B5" s="7">
        <v>27287300</v>
      </c>
      <c r="C5" s="7" t="s">
        <v>16</v>
      </c>
      <c r="D5" s="8" t="s">
        <v>17</v>
      </c>
      <c r="E5" s="9">
        <v>217.3</v>
      </c>
      <c r="F5" s="10">
        <v>98.481300000000005</v>
      </c>
      <c r="G5" s="10">
        <f t="shared" ref="G5:G22" si="0">(F5/100)*E5</f>
        <v>213.99986490000003</v>
      </c>
      <c r="H5" s="10">
        <v>199200</v>
      </c>
      <c r="I5" s="10">
        <f>(G5*H5)/1000</f>
        <v>42628.773088080001</v>
      </c>
    </row>
    <row r="6" spans="1:9">
      <c r="A6" s="7" t="s">
        <v>15</v>
      </c>
      <c r="B6" s="7">
        <v>27287300</v>
      </c>
      <c r="C6" s="7" t="s">
        <v>16</v>
      </c>
      <c r="D6" s="8" t="s">
        <v>18</v>
      </c>
      <c r="E6" s="9">
        <v>217.3</v>
      </c>
      <c r="F6" s="10">
        <v>98.481300000000005</v>
      </c>
      <c r="G6" s="10">
        <f t="shared" si="0"/>
        <v>213.99986490000003</v>
      </c>
      <c r="H6" s="10">
        <v>99600</v>
      </c>
      <c r="I6" s="10">
        <f>(G6*H6)/1000</f>
        <v>21314.38654404</v>
      </c>
    </row>
    <row r="7" spans="1:9">
      <c r="A7" s="7" t="s">
        <v>19</v>
      </c>
      <c r="B7" s="7">
        <v>27287330</v>
      </c>
      <c r="C7" s="7" t="s">
        <v>20</v>
      </c>
      <c r="D7" s="8" t="s">
        <v>21</v>
      </c>
      <c r="E7" s="9">
        <v>195</v>
      </c>
      <c r="F7" s="10">
        <v>94.420500000000004</v>
      </c>
      <c r="G7" s="10">
        <f t="shared" si="0"/>
        <v>184.11997500000001</v>
      </c>
      <c r="H7" s="10">
        <v>112800</v>
      </c>
      <c r="I7" s="10">
        <f t="shared" ref="I7:I29" si="1">(G7*H7)/1000</f>
        <v>20768.733179999999</v>
      </c>
    </row>
    <row r="8" spans="1:9">
      <c r="A8" s="7" t="s">
        <v>19</v>
      </c>
      <c r="B8" s="7">
        <v>27287330</v>
      </c>
      <c r="C8" s="7" t="s">
        <v>20</v>
      </c>
      <c r="D8" s="8" t="s">
        <v>22</v>
      </c>
      <c r="E8" s="9">
        <v>195</v>
      </c>
      <c r="F8" s="10">
        <v>94.420500000000004</v>
      </c>
      <c r="G8" s="10">
        <f t="shared" si="0"/>
        <v>184.11997500000001</v>
      </c>
      <c r="H8" s="10">
        <v>112800</v>
      </c>
      <c r="I8" s="10">
        <f t="shared" si="1"/>
        <v>20768.733179999999</v>
      </c>
    </row>
    <row r="9" spans="1:9">
      <c r="A9" s="7" t="s">
        <v>19</v>
      </c>
      <c r="B9" s="7">
        <v>27287330</v>
      </c>
      <c r="C9" s="7" t="s">
        <v>20</v>
      </c>
      <c r="D9" s="8" t="s">
        <v>23</v>
      </c>
      <c r="E9" s="9">
        <v>195</v>
      </c>
      <c r="F9" s="10">
        <v>94.420500000000004</v>
      </c>
      <c r="G9" s="10">
        <f t="shared" si="0"/>
        <v>184.11997500000001</v>
      </c>
      <c r="H9" s="10">
        <v>112800</v>
      </c>
      <c r="I9" s="10">
        <f t="shared" si="1"/>
        <v>20768.733179999999</v>
      </c>
    </row>
    <row r="10" spans="1:9">
      <c r="A10" s="7" t="s">
        <v>19</v>
      </c>
      <c r="B10" s="7">
        <v>27287330</v>
      </c>
      <c r="C10" s="7" t="s">
        <v>20</v>
      </c>
      <c r="D10" s="8" t="s">
        <v>24</v>
      </c>
      <c r="E10" s="9">
        <v>195</v>
      </c>
      <c r="F10" s="10">
        <v>94.420500000000004</v>
      </c>
      <c r="G10" s="10">
        <f t="shared" si="0"/>
        <v>184.11997500000001</v>
      </c>
      <c r="H10" s="10">
        <v>112800</v>
      </c>
      <c r="I10" s="10">
        <f t="shared" si="1"/>
        <v>20768.733179999999</v>
      </c>
    </row>
    <row r="11" spans="1:9">
      <c r="A11" s="7" t="s">
        <v>19</v>
      </c>
      <c r="B11" s="7">
        <v>27287330</v>
      </c>
      <c r="C11" s="7" t="s">
        <v>20</v>
      </c>
      <c r="D11" s="8" t="s">
        <v>25</v>
      </c>
      <c r="E11" s="9">
        <v>195</v>
      </c>
      <c r="F11" s="10">
        <v>94.420500000000004</v>
      </c>
      <c r="G11" s="10">
        <f t="shared" si="0"/>
        <v>184.11997500000001</v>
      </c>
      <c r="H11" s="10">
        <v>97584</v>
      </c>
      <c r="I11" s="10">
        <f t="shared" si="1"/>
        <v>17967.163640399998</v>
      </c>
    </row>
    <row r="12" spans="1:9">
      <c r="A12" s="7" t="s">
        <v>15</v>
      </c>
      <c r="B12" s="7">
        <v>27287300</v>
      </c>
      <c r="C12" s="7" t="s">
        <v>16</v>
      </c>
      <c r="D12" s="8" t="s">
        <v>26</v>
      </c>
      <c r="E12" s="9">
        <v>217.3</v>
      </c>
      <c r="F12" s="10">
        <v>98.481300000000005</v>
      </c>
      <c r="G12" s="10">
        <f t="shared" si="0"/>
        <v>213.99986490000003</v>
      </c>
      <c r="H12" s="10">
        <v>99600</v>
      </c>
      <c r="I12" s="10">
        <f t="shared" si="1"/>
        <v>21314.38654404</v>
      </c>
    </row>
    <row r="13" spans="1:9">
      <c r="A13" s="7" t="s">
        <v>15</v>
      </c>
      <c r="B13" s="7">
        <v>27287300</v>
      </c>
      <c r="C13" s="7" t="s">
        <v>16</v>
      </c>
      <c r="D13" s="8" t="s">
        <v>27</v>
      </c>
      <c r="E13" s="9">
        <v>217.3</v>
      </c>
      <c r="F13" s="10">
        <v>98.481300000000005</v>
      </c>
      <c r="G13" s="10">
        <f t="shared" si="0"/>
        <v>213.99986490000003</v>
      </c>
      <c r="H13" s="10">
        <v>99600</v>
      </c>
      <c r="I13" s="10">
        <f t="shared" si="1"/>
        <v>21314.38654404</v>
      </c>
    </row>
    <row r="14" spans="1:9">
      <c r="A14" s="7" t="s">
        <v>15</v>
      </c>
      <c r="B14" s="7">
        <v>27287410</v>
      </c>
      <c r="C14" s="7" t="s">
        <v>28</v>
      </c>
      <c r="D14" s="8" t="s">
        <v>29</v>
      </c>
      <c r="E14" s="9">
        <v>217.3</v>
      </c>
      <c r="F14" s="10">
        <v>98.481300000000005</v>
      </c>
      <c r="G14" s="10">
        <f t="shared" ref="G14" si="2">(F14/100)*E14</f>
        <v>213.99986490000003</v>
      </c>
      <c r="H14" s="10">
        <v>99600</v>
      </c>
      <c r="I14" s="10">
        <f t="shared" ref="I14" si="3">(G14*H14)/1000</f>
        <v>21314.38654404</v>
      </c>
    </row>
    <row r="15" spans="1:9">
      <c r="A15" s="7" t="s">
        <v>15</v>
      </c>
      <c r="B15" s="7">
        <v>27287410</v>
      </c>
      <c r="C15" s="7" t="s">
        <v>28</v>
      </c>
      <c r="D15" s="8" t="s">
        <v>30</v>
      </c>
      <c r="E15" s="9">
        <v>217.3</v>
      </c>
      <c r="F15" s="10">
        <v>98.481300000000005</v>
      </c>
      <c r="G15" s="10">
        <f t="shared" ref="G15" si="4">(F15/100)*E15</f>
        <v>213.99986490000003</v>
      </c>
      <c r="H15" s="10">
        <v>99600</v>
      </c>
      <c r="I15" s="10">
        <f t="shared" ref="I15" si="5">(G15*H15)/1000</f>
        <v>21314.38654404</v>
      </c>
    </row>
    <row r="16" spans="1:9">
      <c r="A16" s="7" t="s">
        <v>15</v>
      </c>
      <c r="B16" s="7">
        <v>27287410</v>
      </c>
      <c r="C16" s="7" t="s">
        <v>28</v>
      </c>
      <c r="D16" s="8" t="s">
        <v>31</v>
      </c>
      <c r="E16" s="9">
        <v>217.3</v>
      </c>
      <c r="F16" s="10">
        <v>98.481300000000005</v>
      </c>
      <c r="G16" s="10">
        <f t="shared" ref="G16" si="6">(F16/100)*E16</f>
        <v>213.99986490000003</v>
      </c>
      <c r="H16" s="10">
        <v>99600</v>
      </c>
      <c r="I16" s="10">
        <f t="shared" ref="I16" si="7">(G16*H16)/1000</f>
        <v>21314.38654404</v>
      </c>
    </row>
    <row r="17" spans="1:9">
      <c r="A17" s="7" t="s">
        <v>15</v>
      </c>
      <c r="B17" s="7">
        <v>27287410</v>
      </c>
      <c r="C17" s="7" t="s">
        <v>28</v>
      </c>
      <c r="D17" s="8" t="s">
        <v>32</v>
      </c>
      <c r="E17" s="9">
        <v>217.3</v>
      </c>
      <c r="F17" s="10">
        <v>98.481300000000005</v>
      </c>
      <c r="G17" s="10">
        <f t="shared" ref="G17" si="8">(F17/100)*E17</f>
        <v>213.99986490000003</v>
      </c>
      <c r="H17" s="10">
        <v>148800</v>
      </c>
      <c r="I17" s="10">
        <f t="shared" si="1"/>
        <v>31843.179897120008</v>
      </c>
    </row>
    <row r="18" spans="1:9">
      <c r="A18" s="7"/>
      <c r="B18" s="7"/>
      <c r="C18" s="7"/>
      <c r="D18" s="8"/>
      <c r="E18" s="9"/>
      <c r="F18" s="10"/>
      <c r="G18" s="10">
        <f t="shared" si="0"/>
        <v>0</v>
      </c>
      <c r="H18" s="10"/>
      <c r="I18" s="10">
        <f t="shared" si="1"/>
        <v>0</v>
      </c>
    </row>
    <row r="19" spans="1:9">
      <c r="A19" s="7"/>
      <c r="B19" s="7"/>
      <c r="C19" s="7"/>
      <c r="D19" s="8"/>
      <c r="E19" s="9"/>
      <c r="F19" s="10"/>
      <c r="G19" s="10">
        <f t="shared" si="0"/>
        <v>0</v>
      </c>
      <c r="H19" s="10"/>
      <c r="I19" s="10">
        <f t="shared" si="1"/>
        <v>0</v>
      </c>
    </row>
    <row r="20" spans="1:9">
      <c r="A20" s="7"/>
      <c r="B20" s="7"/>
      <c r="C20" s="7"/>
      <c r="D20" s="8"/>
      <c r="E20" s="9"/>
      <c r="F20" s="10"/>
      <c r="G20" s="10">
        <f t="shared" si="0"/>
        <v>0</v>
      </c>
      <c r="H20" s="10"/>
      <c r="I20" s="10">
        <f t="shared" si="1"/>
        <v>0</v>
      </c>
    </row>
    <row r="21" spans="1:9">
      <c r="A21" s="7"/>
      <c r="B21" s="7"/>
      <c r="C21" s="7"/>
      <c r="D21" s="8"/>
      <c r="E21" s="9"/>
      <c r="F21" s="10"/>
      <c r="G21" s="10">
        <f t="shared" si="0"/>
        <v>0</v>
      </c>
      <c r="H21" s="10"/>
      <c r="I21" s="10">
        <f t="shared" si="1"/>
        <v>0</v>
      </c>
    </row>
    <row r="22" spans="1:9">
      <c r="A22" s="7"/>
      <c r="B22" s="7"/>
      <c r="C22" s="7"/>
      <c r="D22" s="8"/>
      <c r="E22" s="9"/>
      <c r="F22" s="10"/>
      <c r="G22" s="10">
        <f t="shared" si="0"/>
        <v>0</v>
      </c>
      <c r="H22" s="10"/>
      <c r="I22" s="10">
        <f t="shared" si="1"/>
        <v>0</v>
      </c>
    </row>
    <row r="23" spans="1:9">
      <c r="A23" s="7"/>
      <c r="B23" s="7"/>
      <c r="C23" s="7"/>
      <c r="D23" s="8"/>
      <c r="E23" s="9"/>
      <c r="F23" s="10"/>
      <c r="G23" s="10">
        <f t="shared" ref="G23:G29" si="9">(F23/100)*E23</f>
        <v>0</v>
      </c>
      <c r="H23" s="10"/>
      <c r="I23" s="10">
        <f t="shared" si="1"/>
        <v>0</v>
      </c>
    </row>
    <row r="24" spans="1:9">
      <c r="A24" s="7"/>
      <c r="B24" s="7"/>
      <c r="C24" s="7"/>
      <c r="D24" s="8"/>
      <c r="E24" s="9"/>
      <c r="F24" s="10"/>
      <c r="G24" s="10">
        <f>(F24/100)*E24</f>
        <v>0</v>
      </c>
      <c r="H24" s="10"/>
      <c r="I24" s="10">
        <f t="shared" si="1"/>
        <v>0</v>
      </c>
    </row>
    <row r="25" spans="1:9">
      <c r="A25" s="7"/>
      <c r="B25" s="7"/>
      <c r="C25" s="7"/>
      <c r="D25" s="8"/>
      <c r="E25" s="9"/>
      <c r="F25" s="10"/>
      <c r="G25" s="10">
        <f t="shared" si="9"/>
        <v>0</v>
      </c>
      <c r="H25" s="10"/>
      <c r="I25" s="10">
        <f t="shared" si="1"/>
        <v>0</v>
      </c>
    </row>
    <row r="26" spans="1:9">
      <c r="A26" s="7"/>
      <c r="B26" s="7"/>
      <c r="C26" s="7"/>
      <c r="D26" s="8"/>
      <c r="E26" s="9"/>
      <c r="F26" s="10"/>
      <c r="G26" s="10">
        <f t="shared" si="9"/>
        <v>0</v>
      </c>
      <c r="H26" s="10"/>
      <c r="I26" s="10">
        <f t="shared" si="1"/>
        <v>0</v>
      </c>
    </row>
    <row r="27" spans="1:9">
      <c r="A27" s="7"/>
      <c r="B27" s="7"/>
      <c r="C27" s="7"/>
      <c r="D27" s="8"/>
      <c r="E27" s="9"/>
      <c r="F27" s="10"/>
      <c r="G27" s="10">
        <f t="shared" si="9"/>
        <v>0</v>
      </c>
      <c r="H27" s="10"/>
      <c r="I27" s="10">
        <f t="shared" si="1"/>
        <v>0</v>
      </c>
    </row>
    <row r="28" spans="1:9">
      <c r="A28" s="7"/>
      <c r="B28" s="7"/>
      <c r="C28" s="7"/>
      <c r="D28" s="8"/>
      <c r="E28" s="9"/>
      <c r="F28" s="10"/>
      <c r="G28" s="10">
        <f t="shared" si="9"/>
        <v>0</v>
      </c>
      <c r="H28" s="10"/>
      <c r="I28" s="10">
        <f t="shared" si="1"/>
        <v>0</v>
      </c>
    </row>
    <row r="29" spans="1:9" ht="13.9" customHeight="1">
      <c r="A29" s="7"/>
      <c r="B29" s="7"/>
      <c r="C29" s="7"/>
      <c r="D29" s="8"/>
      <c r="E29" s="9"/>
      <c r="F29" s="10"/>
      <c r="G29" s="10">
        <f t="shared" si="9"/>
        <v>0</v>
      </c>
      <c r="H29" s="10"/>
      <c r="I29" s="10">
        <f t="shared" si="1"/>
        <v>0</v>
      </c>
    </row>
    <row r="30" spans="1:9" ht="15.6">
      <c r="A30" s="11"/>
      <c r="B30" s="11"/>
      <c r="C30" s="11"/>
      <c r="D30" s="12"/>
      <c r="E30" s="14" t="s">
        <v>33</v>
      </c>
      <c r="F30" s="15"/>
      <c r="G30" s="15"/>
      <c r="H30" s="16"/>
      <c r="I30" s="13">
        <f>SUM(I5:I29)</f>
        <v>303400.36860983999</v>
      </c>
    </row>
    <row r="31" spans="1:9" ht="15.6">
      <c r="A31" s="11"/>
      <c r="B31" s="11"/>
      <c r="C31" s="11"/>
      <c r="D31" s="12"/>
      <c r="E31" s="14" t="s">
        <v>34</v>
      </c>
      <c r="F31" s="15"/>
      <c r="G31" s="15"/>
      <c r="H31" s="16"/>
      <c r="I31" s="13">
        <f>(I$30)/1000</f>
        <v>303.40036860983997</v>
      </c>
    </row>
  </sheetData>
  <mergeCells count="5">
    <mergeCell ref="E31:H31"/>
    <mergeCell ref="E30:H30"/>
    <mergeCell ref="C3:I3"/>
    <mergeCell ref="C2:I2"/>
    <mergeCell ref="C1:I1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1"/>
  <sheetViews>
    <sheetView workbookViewId="0">
      <selection activeCell="A14" sqref="A14:D17"/>
    </sheetView>
  </sheetViews>
  <sheetFormatPr defaultRowHeight="13.9"/>
  <cols>
    <col min="1" max="1" width="32" bestFit="1" customWidth="1"/>
    <col min="2" max="2" width="10.25" customWidth="1"/>
    <col min="3" max="4" width="10" customWidth="1"/>
    <col min="5" max="5" width="9.625" customWidth="1"/>
    <col min="8" max="8" width="12.625" customWidth="1"/>
  </cols>
  <sheetData>
    <row r="1" spans="1:9" ht="22.9">
      <c r="A1" s="1" t="s">
        <v>0</v>
      </c>
      <c r="B1" s="2"/>
      <c r="C1" s="18" t="s">
        <v>1</v>
      </c>
      <c r="D1" s="18"/>
      <c r="E1" s="18"/>
      <c r="F1" s="18"/>
      <c r="G1" s="18"/>
      <c r="H1" s="18"/>
      <c r="I1" s="18"/>
    </row>
    <row r="2" spans="1:9" ht="22.9">
      <c r="A2" s="2" t="s">
        <v>2</v>
      </c>
      <c r="B2" s="2"/>
      <c r="C2" s="18" t="s">
        <v>35</v>
      </c>
      <c r="D2" s="18"/>
      <c r="E2" s="18"/>
      <c r="F2" s="18"/>
      <c r="G2" s="18"/>
      <c r="H2" s="18"/>
      <c r="I2" s="18"/>
    </row>
    <row r="3" spans="1:9" ht="22.9">
      <c r="A3" s="1" t="s">
        <v>4</v>
      </c>
      <c r="B3" s="2"/>
      <c r="C3" s="17" t="s">
        <v>36</v>
      </c>
      <c r="D3" s="17"/>
      <c r="E3" s="17"/>
      <c r="F3" s="17"/>
      <c r="G3" s="17"/>
      <c r="H3" s="17"/>
      <c r="I3" s="17"/>
    </row>
    <row r="4" spans="1:9" ht="69">
      <c r="A4" s="3" t="s">
        <v>6</v>
      </c>
      <c r="B4" s="3" t="s">
        <v>7</v>
      </c>
      <c r="C4" s="4" t="s">
        <v>8</v>
      </c>
      <c r="D4" s="3" t="s">
        <v>9</v>
      </c>
      <c r="E4" s="4" t="s">
        <v>10</v>
      </c>
      <c r="F4" s="5" t="s">
        <v>11</v>
      </c>
      <c r="G4" s="5" t="s">
        <v>12</v>
      </c>
      <c r="H4" s="5" t="s">
        <v>13</v>
      </c>
      <c r="I4" s="6" t="s">
        <v>14</v>
      </c>
    </row>
    <row r="5" spans="1:9">
      <c r="A5" s="7" t="s">
        <v>15</v>
      </c>
      <c r="B5" s="7">
        <v>27287300</v>
      </c>
      <c r="C5" s="7" t="s">
        <v>16</v>
      </c>
      <c r="D5" s="8" t="s">
        <v>17</v>
      </c>
      <c r="E5" s="9">
        <v>217.31</v>
      </c>
      <c r="F5" s="10">
        <v>1</v>
      </c>
      <c r="G5" s="10">
        <f t="shared" ref="G5:G29" si="0">(F5/100)*E5</f>
        <v>2.1731000000000003</v>
      </c>
      <c r="H5" s="10">
        <v>199200</v>
      </c>
      <c r="I5" s="10">
        <f>(G5*H5)/1000</f>
        <v>432.88152000000008</v>
      </c>
    </row>
    <row r="6" spans="1:9">
      <c r="A6" s="7" t="s">
        <v>15</v>
      </c>
      <c r="B6" s="7">
        <v>27287300</v>
      </c>
      <c r="C6" s="7" t="s">
        <v>16</v>
      </c>
      <c r="D6" s="8" t="s">
        <v>18</v>
      </c>
      <c r="E6" s="9">
        <v>217.31</v>
      </c>
      <c r="F6" s="10">
        <v>1</v>
      </c>
      <c r="G6" s="10">
        <f t="shared" si="0"/>
        <v>2.1731000000000003</v>
      </c>
      <c r="H6" s="10">
        <v>99600</v>
      </c>
      <c r="I6" s="10">
        <f t="shared" ref="I6:I29" si="1">(G6*H6)/1000</f>
        <v>216.44076000000004</v>
      </c>
    </row>
    <row r="7" spans="1:9">
      <c r="A7" s="7" t="s">
        <v>19</v>
      </c>
      <c r="B7" s="7">
        <v>27287330</v>
      </c>
      <c r="C7" s="7" t="s">
        <v>20</v>
      </c>
      <c r="D7" s="8" t="s">
        <v>21</v>
      </c>
      <c r="E7" s="9">
        <v>195</v>
      </c>
      <c r="F7" s="10">
        <v>5</v>
      </c>
      <c r="G7" s="10">
        <f t="shared" si="0"/>
        <v>9.75</v>
      </c>
      <c r="H7" s="10">
        <v>112800</v>
      </c>
      <c r="I7" s="10">
        <f t="shared" si="1"/>
        <v>1099.8</v>
      </c>
    </row>
    <row r="8" spans="1:9">
      <c r="A8" s="7" t="s">
        <v>19</v>
      </c>
      <c r="B8" s="7">
        <v>27287330</v>
      </c>
      <c r="C8" s="7" t="s">
        <v>20</v>
      </c>
      <c r="D8" s="8" t="s">
        <v>22</v>
      </c>
      <c r="E8" s="9">
        <v>195</v>
      </c>
      <c r="F8" s="10">
        <v>5</v>
      </c>
      <c r="G8" s="10">
        <f t="shared" si="0"/>
        <v>9.75</v>
      </c>
      <c r="H8" s="10">
        <v>112800</v>
      </c>
      <c r="I8" s="10">
        <f t="shared" si="1"/>
        <v>1099.8</v>
      </c>
    </row>
    <row r="9" spans="1:9">
      <c r="A9" s="7" t="s">
        <v>19</v>
      </c>
      <c r="B9" s="7">
        <v>27287330</v>
      </c>
      <c r="C9" s="7" t="s">
        <v>20</v>
      </c>
      <c r="D9" s="8" t="s">
        <v>23</v>
      </c>
      <c r="E9" s="9">
        <v>195</v>
      </c>
      <c r="F9" s="10">
        <v>5</v>
      </c>
      <c r="G9" s="10">
        <f t="shared" si="0"/>
        <v>9.75</v>
      </c>
      <c r="H9" s="10">
        <v>112800</v>
      </c>
      <c r="I9" s="10">
        <f t="shared" si="1"/>
        <v>1099.8</v>
      </c>
    </row>
    <row r="10" spans="1:9">
      <c r="A10" s="7" t="s">
        <v>19</v>
      </c>
      <c r="B10" s="7">
        <v>27287330</v>
      </c>
      <c r="C10" s="7" t="s">
        <v>20</v>
      </c>
      <c r="D10" s="8" t="s">
        <v>24</v>
      </c>
      <c r="E10" s="9">
        <v>195</v>
      </c>
      <c r="F10" s="10">
        <v>5</v>
      </c>
      <c r="G10" s="10">
        <f t="shared" si="0"/>
        <v>9.75</v>
      </c>
      <c r="H10" s="10">
        <v>112800</v>
      </c>
      <c r="I10" s="10">
        <f t="shared" si="1"/>
        <v>1099.8</v>
      </c>
    </row>
    <row r="11" spans="1:9">
      <c r="A11" s="7" t="s">
        <v>19</v>
      </c>
      <c r="B11" s="7">
        <v>27287330</v>
      </c>
      <c r="C11" s="7" t="s">
        <v>20</v>
      </c>
      <c r="D11" s="8" t="s">
        <v>25</v>
      </c>
      <c r="E11" s="9">
        <v>195</v>
      </c>
      <c r="F11" s="10">
        <v>5</v>
      </c>
      <c r="G11" s="10">
        <f t="shared" si="0"/>
        <v>9.75</v>
      </c>
      <c r="H11" s="10">
        <v>97584</v>
      </c>
      <c r="I11" s="10">
        <f t="shared" si="1"/>
        <v>951.44399999999996</v>
      </c>
    </row>
    <row r="12" spans="1:9">
      <c r="A12" s="7" t="s">
        <v>15</v>
      </c>
      <c r="B12" s="7">
        <v>27287300</v>
      </c>
      <c r="C12" s="7" t="s">
        <v>16</v>
      </c>
      <c r="D12" s="8" t="s">
        <v>26</v>
      </c>
      <c r="E12" s="9">
        <v>217.31</v>
      </c>
      <c r="F12" s="10">
        <v>1</v>
      </c>
      <c r="G12" s="10">
        <f t="shared" si="0"/>
        <v>2.1731000000000003</v>
      </c>
      <c r="H12" s="10">
        <v>99600</v>
      </c>
      <c r="I12" s="10">
        <f t="shared" si="1"/>
        <v>216.44076000000004</v>
      </c>
    </row>
    <row r="13" spans="1:9">
      <c r="A13" s="7" t="s">
        <v>15</v>
      </c>
      <c r="B13" s="7">
        <v>27287300</v>
      </c>
      <c r="C13" s="7" t="s">
        <v>16</v>
      </c>
      <c r="D13" s="8" t="s">
        <v>27</v>
      </c>
      <c r="E13" s="9">
        <v>217.3</v>
      </c>
      <c r="F13" s="10">
        <v>1</v>
      </c>
      <c r="G13" s="10">
        <f t="shared" si="0"/>
        <v>2.173</v>
      </c>
      <c r="H13" s="10">
        <v>99600</v>
      </c>
      <c r="I13" s="10">
        <f t="shared" si="1"/>
        <v>216.4308</v>
      </c>
    </row>
    <row r="14" spans="1:9">
      <c r="A14" s="7" t="s">
        <v>15</v>
      </c>
      <c r="B14" s="7">
        <v>27287410</v>
      </c>
      <c r="C14" s="7" t="s">
        <v>28</v>
      </c>
      <c r="D14" s="8" t="s">
        <v>29</v>
      </c>
      <c r="E14" s="9">
        <v>217.3</v>
      </c>
      <c r="F14" s="10">
        <v>1</v>
      </c>
      <c r="G14" s="10">
        <f t="shared" si="0"/>
        <v>2.173</v>
      </c>
      <c r="H14" s="10">
        <v>99600</v>
      </c>
      <c r="I14" s="10">
        <f t="shared" si="1"/>
        <v>216.4308</v>
      </c>
    </row>
    <row r="15" spans="1:9">
      <c r="A15" s="7" t="s">
        <v>15</v>
      </c>
      <c r="B15" s="7">
        <v>27287410</v>
      </c>
      <c r="C15" s="7" t="s">
        <v>28</v>
      </c>
      <c r="D15" s="8" t="s">
        <v>30</v>
      </c>
      <c r="E15" s="9">
        <v>217.3</v>
      </c>
      <c r="F15" s="10">
        <v>1</v>
      </c>
      <c r="G15" s="10">
        <f t="shared" ref="G15:G17" si="2">(F15/100)*E15</f>
        <v>2.173</v>
      </c>
      <c r="H15" s="10">
        <v>99600</v>
      </c>
      <c r="I15" s="10">
        <f t="shared" si="1"/>
        <v>216.4308</v>
      </c>
    </row>
    <row r="16" spans="1:9">
      <c r="A16" s="7" t="s">
        <v>15</v>
      </c>
      <c r="B16" s="7">
        <v>27287410</v>
      </c>
      <c r="C16" s="7" t="s">
        <v>28</v>
      </c>
      <c r="D16" s="8" t="s">
        <v>31</v>
      </c>
      <c r="E16" s="9">
        <v>217.3</v>
      </c>
      <c r="F16" s="10">
        <v>1</v>
      </c>
      <c r="G16" s="10">
        <f t="shared" si="2"/>
        <v>2.173</v>
      </c>
      <c r="H16" s="10">
        <v>99600</v>
      </c>
      <c r="I16" s="10">
        <f t="shared" si="1"/>
        <v>216.4308</v>
      </c>
    </row>
    <row r="17" spans="1:9">
      <c r="A17" s="7" t="s">
        <v>15</v>
      </c>
      <c r="B17" s="7">
        <v>27287410</v>
      </c>
      <c r="C17" s="7" t="s">
        <v>28</v>
      </c>
      <c r="D17" s="8" t="s">
        <v>32</v>
      </c>
      <c r="E17" s="9">
        <v>217.3</v>
      </c>
      <c r="F17" s="10">
        <v>1</v>
      </c>
      <c r="G17" s="10">
        <f t="shared" si="2"/>
        <v>2.173</v>
      </c>
      <c r="H17" s="10">
        <v>148800</v>
      </c>
      <c r="I17" s="10">
        <f t="shared" si="1"/>
        <v>323.3424</v>
      </c>
    </row>
    <row r="18" spans="1:9">
      <c r="A18" s="7"/>
      <c r="B18" s="7"/>
      <c r="C18" s="7"/>
      <c r="D18" s="8"/>
      <c r="E18" s="9"/>
      <c r="F18" s="10"/>
      <c r="G18" s="10">
        <f t="shared" si="0"/>
        <v>0</v>
      </c>
      <c r="H18" s="10"/>
      <c r="I18" s="10">
        <f t="shared" si="1"/>
        <v>0</v>
      </c>
    </row>
    <row r="19" spans="1:9">
      <c r="A19" s="7"/>
      <c r="B19" s="7"/>
      <c r="C19" s="7"/>
      <c r="D19" s="8"/>
      <c r="E19" s="9"/>
      <c r="F19" s="10"/>
      <c r="G19" s="10">
        <f t="shared" si="0"/>
        <v>0</v>
      </c>
      <c r="H19" s="10"/>
      <c r="I19" s="10">
        <f t="shared" si="1"/>
        <v>0</v>
      </c>
    </row>
    <row r="20" spans="1:9">
      <c r="A20" s="7"/>
      <c r="B20" s="7"/>
      <c r="C20" s="7"/>
      <c r="D20" s="8"/>
      <c r="E20" s="9"/>
      <c r="F20" s="10"/>
      <c r="G20" s="10">
        <f t="shared" si="0"/>
        <v>0</v>
      </c>
      <c r="H20" s="10"/>
      <c r="I20" s="10">
        <f t="shared" si="1"/>
        <v>0</v>
      </c>
    </row>
    <row r="21" spans="1:9">
      <c r="A21" s="7"/>
      <c r="B21" s="7"/>
      <c r="C21" s="7"/>
      <c r="D21" s="8"/>
      <c r="E21" s="9"/>
      <c r="F21" s="10"/>
      <c r="G21" s="10">
        <f t="shared" si="0"/>
        <v>0</v>
      </c>
      <c r="H21" s="10"/>
      <c r="I21" s="10">
        <f t="shared" si="1"/>
        <v>0</v>
      </c>
    </row>
    <row r="22" spans="1:9">
      <c r="A22" s="7"/>
      <c r="B22" s="7"/>
      <c r="C22" s="7"/>
      <c r="D22" s="8"/>
      <c r="E22" s="9"/>
      <c r="F22" s="10"/>
      <c r="G22" s="10">
        <f t="shared" si="0"/>
        <v>0</v>
      </c>
      <c r="H22" s="10"/>
      <c r="I22" s="10">
        <f t="shared" si="1"/>
        <v>0</v>
      </c>
    </row>
    <row r="23" spans="1:9">
      <c r="A23" s="7"/>
      <c r="B23" s="7"/>
      <c r="C23" s="7"/>
      <c r="D23" s="8"/>
      <c r="E23" s="9"/>
      <c r="F23" s="10"/>
      <c r="G23" s="10">
        <f t="shared" si="0"/>
        <v>0</v>
      </c>
      <c r="H23" s="10"/>
      <c r="I23" s="10">
        <f t="shared" si="1"/>
        <v>0</v>
      </c>
    </row>
    <row r="24" spans="1:9">
      <c r="A24" s="7"/>
      <c r="B24" s="7"/>
      <c r="C24" s="7"/>
      <c r="D24" s="8"/>
      <c r="E24" s="9"/>
      <c r="F24" s="10"/>
      <c r="G24" s="10">
        <f t="shared" si="0"/>
        <v>0</v>
      </c>
      <c r="H24" s="10"/>
      <c r="I24" s="10">
        <f t="shared" si="1"/>
        <v>0</v>
      </c>
    </row>
    <row r="25" spans="1:9">
      <c r="A25" s="7"/>
      <c r="B25" s="7"/>
      <c r="C25" s="7"/>
      <c r="D25" s="8"/>
      <c r="E25" s="9"/>
      <c r="F25" s="10"/>
      <c r="G25" s="10">
        <f t="shared" si="0"/>
        <v>0</v>
      </c>
      <c r="H25" s="10"/>
      <c r="I25" s="10">
        <f t="shared" si="1"/>
        <v>0</v>
      </c>
    </row>
    <row r="26" spans="1:9">
      <c r="A26" s="7"/>
      <c r="B26" s="7"/>
      <c r="C26" s="7"/>
      <c r="D26" s="8"/>
      <c r="E26" s="9"/>
      <c r="F26" s="10"/>
      <c r="G26" s="10">
        <f t="shared" si="0"/>
        <v>0</v>
      </c>
      <c r="H26" s="10"/>
      <c r="I26" s="10">
        <f t="shared" si="1"/>
        <v>0</v>
      </c>
    </row>
    <row r="27" spans="1:9">
      <c r="A27" s="7"/>
      <c r="B27" s="7"/>
      <c r="C27" s="7"/>
      <c r="D27" s="8"/>
      <c r="E27" s="9"/>
      <c r="F27" s="10"/>
      <c r="G27" s="10">
        <f t="shared" si="0"/>
        <v>0</v>
      </c>
      <c r="H27" s="10"/>
      <c r="I27" s="10">
        <f t="shared" si="1"/>
        <v>0</v>
      </c>
    </row>
    <row r="28" spans="1:9">
      <c r="A28" s="7"/>
      <c r="B28" s="7"/>
      <c r="C28" s="7"/>
      <c r="D28" s="8"/>
      <c r="E28" s="9"/>
      <c r="F28" s="10"/>
      <c r="G28" s="10">
        <f t="shared" si="0"/>
        <v>0</v>
      </c>
      <c r="H28" s="10"/>
      <c r="I28" s="10">
        <f t="shared" si="1"/>
        <v>0</v>
      </c>
    </row>
    <row r="29" spans="1:9">
      <c r="A29" s="7"/>
      <c r="B29" s="7"/>
      <c r="C29" s="7"/>
      <c r="D29" s="8"/>
      <c r="E29" s="9"/>
      <c r="F29" s="10"/>
      <c r="G29" s="10">
        <f t="shared" si="0"/>
        <v>0</v>
      </c>
      <c r="H29" s="10"/>
      <c r="I29" s="10">
        <f t="shared" si="1"/>
        <v>0</v>
      </c>
    </row>
    <row r="30" spans="1:9" ht="15.6">
      <c r="A30" s="11"/>
      <c r="B30" s="11"/>
      <c r="C30" s="11"/>
      <c r="D30" s="12"/>
      <c r="E30" s="14" t="s">
        <v>33</v>
      </c>
      <c r="F30" s="15"/>
      <c r="G30" s="15"/>
      <c r="H30" s="16"/>
      <c r="I30" s="13">
        <f>SUM(I5:I29)</f>
        <v>7405.4726400000018</v>
      </c>
    </row>
    <row r="31" spans="1:9" ht="15.6">
      <c r="A31" s="11"/>
      <c r="B31" s="11"/>
      <c r="C31" s="11"/>
      <c r="D31" s="12"/>
      <c r="E31" s="14" t="s">
        <v>34</v>
      </c>
      <c r="F31" s="15"/>
      <c r="G31" s="15"/>
      <c r="H31" s="16"/>
      <c r="I31" s="13">
        <f>(I$30)/1000</f>
        <v>7.4054726400000019</v>
      </c>
    </row>
  </sheetData>
  <mergeCells count="5">
    <mergeCell ref="C1:I1"/>
    <mergeCell ref="C2:I2"/>
    <mergeCell ref="C3:I3"/>
    <mergeCell ref="E30:H30"/>
    <mergeCell ref="E31:H31"/>
  </mergeCells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1"/>
  <sheetViews>
    <sheetView topLeftCell="A7" workbookViewId="0">
      <selection activeCell="L11" sqref="L11"/>
    </sheetView>
  </sheetViews>
  <sheetFormatPr defaultRowHeight="13.9"/>
  <cols>
    <col min="1" max="1" width="32" bestFit="1" customWidth="1"/>
    <col min="8" max="8" width="12.125" customWidth="1"/>
  </cols>
  <sheetData>
    <row r="1" spans="1:9" ht="22.9">
      <c r="A1" s="1" t="s">
        <v>0</v>
      </c>
      <c r="B1" s="2"/>
      <c r="C1" s="18" t="s">
        <v>1</v>
      </c>
      <c r="D1" s="18"/>
      <c r="E1" s="18"/>
      <c r="F1" s="18"/>
      <c r="G1" s="18"/>
      <c r="H1" s="18"/>
      <c r="I1" s="18"/>
    </row>
    <row r="2" spans="1:9" ht="22.9">
      <c r="A2" s="2" t="s">
        <v>2</v>
      </c>
      <c r="B2" s="2"/>
      <c r="C2" s="18" t="s">
        <v>37</v>
      </c>
      <c r="D2" s="18"/>
      <c r="E2" s="18"/>
      <c r="F2" s="18"/>
      <c r="G2" s="18"/>
      <c r="H2" s="18"/>
      <c r="I2" s="18"/>
    </row>
    <row r="3" spans="1:9" ht="22.9">
      <c r="A3" s="1" t="s">
        <v>4</v>
      </c>
      <c r="B3" s="2"/>
      <c r="C3" s="17" t="s">
        <v>38</v>
      </c>
      <c r="D3" s="17"/>
      <c r="E3" s="17"/>
      <c r="F3" s="17"/>
      <c r="G3" s="17"/>
      <c r="H3" s="17"/>
      <c r="I3" s="17"/>
    </row>
    <row r="4" spans="1:9" ht="69">
      <c r="A4" s="3" t="s">
        <v>6</v>
      </c>
      <c r="B4" s="3" t="s">
        <v>7</v>
      </c>
      <c r="C4" s="4" t="s">
        <v>8</v>
      </c>
      <c r="D4" s="3" t="s">
        <v>9</v>
      </c>
      <c r="E4" s="4" t="s">
        <v>10</v>
      </c>
      <c r="F4" s="5" t="s">
        <v>11</v>
      </c>
      <c r="G4" s="5" t="s">
        <v>12</v>
      </c>
      <c r="H4" s="5" t="s">
        <v>13</v>
      </c>
      <c r="I4" s="6" t="s">
        <v>14</v>
      </c>
    </row>
    <row r="5" spans="1:9">
      <c r="A5" s="7" t="s">
        <v>15</v>
      </c>
      <c r="B5" s="7">
        <v>27287300</v>
      </c>
      <c r="C5" s="7" t="s">
        <v>16</v>
      </c>
      <c r="D5" s="8" t="s">
        <v>17</v>
      </c>
      <c r="E5" s="9">
        <v>217.3</v>
      </c>
      <c r="F5" s="10">
        <v>0.4602</v>
      </c>
      <c r="G5" s="10">
        <f t="shared" ref="G5:G29" si="0">(F5/100)*E5</f>
        <v>1.0000146000000001</v>
      </c>
      <c r="H5" s="10">
        <v>199200</v>
      </c>
      <c r="I5" s="10">
        <f>(G5*H5)/1000</f>
        <v>199.20290832000001</v>
      </c>
    </row>
    <row r="6" spans="1:9">
      <c r="A6" s="7" t="s">
        <v>15</v>
      </c>
      <c r="B6" s="7">
        <v>27287300</v>
      </c>
      <c r="C6" s="7" t="s">
        <v>16</v>
      </c>
      <c r="D6" s="8" t="s">
        <v>18</v>
      </c>
      <c r="E6" s="9">
        <v>217.3</v>
      </c>
      <c r="F6" s="10">
        <v>0.4602</v>
      </c>
      <c r="G6" s="10">
        <f t="shared" si="0"/>
        <v>1.0000146000000001</v>
      </c>
      <c r="H6" s="10">
        <v>99600</v>
      </c>
      <c r="I6" s="10">
        <f t="shared" ref="I6:I29" si="1">(G6*H6)/1000</f>
        <v>99.601454160000003</v>
      </c>
    </row>
    <row r="7" spans="1:9">
      <c r="A7" s="7" t="s">
        <v>19</v>
      </c>
      <c r="B7" s="7">
        <v>27287330</v>
      </c>
      <c r="C7" s="7" t="s">
        <v>20</v>
      </c>
      <c r="D7" s="8" t="s">
        <v>21</v>
      </c>
      <c r="E7" s="9">
        <v>195</v>
      </c>
      <c r="F7" s="10">
        <v>0.4602</v>
      </c>
      <c r="G7" s="10">
        <f t="shared" si="0"/>
        <v>0.89739000000000002</v>
      </c>
      <c r="H7" s="10">
        <v>112800</v>
      </c>
      <c r="I7" s="10">
        <f t="shared" si="1"/>
        <v>101.22559200000001</v>
      </c>
    </row>
    <row r="8" spans="1:9">
      <c r="A8" s="7" t="s">
        <v>19</v>
      </c>
      <c r="B8" s="7">
        <v>27287330</v>
      </c>
      <c r="C8" s="7" t="s">
        <v>20</v>
      </c>
      <c r="D8" s="8" t="s">
        <v>22</v>
      </c>
      <c r="E8" s="9">
        <v>195</v>
      </c>
      <c r="F8" s="10">
        <v>0.4602</v>
      </c>
      <c r="G8" s="10">
        <f t="shared" si="0"/>
        <v>0.89739000000000002</v>
      </c>
      <c r="H8" s="10">
        <v>112800</v>
      </c>
      <c r="I8" s="10">
        <f t="shared" si="1"/>
        <v>101.22559200000001</v>
      </c>
    </row>
    <row r="9" spans="1:9">
      <c r="A9" s="7" t="s">
        <v>19</v>
      </c>
      <c r="B9" s="7">
        <v>27287330</v>
      </c>
      <c r="C9" s="7" t="s">
        <v>20</v>
      </c>
      <c r="D9" s="8" t="s">
        <v>23</v>
      </c>
      <c r="E9" s="9">
        <v>195</v>
      </c>
      <c r="F9" s="10">
        <v>0.4602</v>
      </c>
      <c r="G9" s="10">
        <f t="shared" si="0"/>
        <v>0.89739000000000002</v>
      </c>
      <c r="H9" s="10">
        <v>112800</v>
      </c>
      <c r="I9" s="10">
        <f t="shared" si="1"/>
        <v>101.22559200000001</v>
      </c>
    </row>
    <row r="10" spans="1:9">
      <c r="A10" s="7" t="s">
        <v>19</v>
      </c>
      <c r="B10" s="7">
        <v>27287330</v>
      </c>
      <c r="C10" s="7" t="s">
        <v>20</v>
      </c>
      <c r="D10" s="8" t="s">
        <v>24</v>
      </c>
      <c r="E10" s="9">
        <v>195</v>
      </c>
      <c r="F10" s="10">
        <v>0.4602</v>
      </c>
      <c r="G10" s="10">
        <f t="shared" si="0"/>
        <v>0.89739000000000002</v>
      </c>
      <c r="H10" s="10">
        <v>112800</v>
      </c>
      <c r="I10" s="10">
        <f t="shared" si="1"/>
        <v>101.22559200000001</v>
      </c>
    </row>
    <row r="11" spans="1:9">
      <c r="A11" s="7" t="s">
        <v>19</v>
      </c>
      <c r="B11" s="7">
        <v>27287330</v>
      </c>
      <c r="C11" s="7" t="s">
        <v>20</v>
      </c>
      <c r="D11" s="8" t="s">
        <v>25</v>
      </c>
      <c r="E11" s="9">
        <v>195</v>
      </c>
      <c r="F11" s="10">
        <v>0.4602</v>
      </c>
      <c r="G11" s="10">
        <f t="shared" si="0"/>
        <v>0.89739000000000002</v>
      </c>
      <c r="H11" s="10">
        <v>97584</v>
      </c>
      <c r="I11" s="10">
        <f t="shared" si="1"/>
        <v>87.570905760000002</v>
      </c>
    </row>
    <row r="12" spans="1:9">
      <c r="A12" s="7" t="s">
        <v>15</v>
      </c>
      <c r="B12" s="7">
        <v>27287300</v>
      </c>
      <c r="C12" s="7" t="s">
        <v>16</v>
      </c>
      <c r="D12" s="8" t="s">
        <v>26</v>
      </c>
      <c r="E12" s="9">
        <v>217.3</v>
      </c>
      <c r="F12" s="10">
        <v>0.4602</v>
      </c>
      <c r="G12" s="10">
        <f t="shared" si="0"/>
        <v>1.0000146000000001</v>
      </c>
      <c r="H12" s="10">
        <v>99600</v>
      </c>
      <c r="I12" s="10">
        <f t="shared" si="1"/>
        <v>99.601454160000003</v>
      </c>
    </row>
    <row r="13" spans="1:9">
      <c r="A13" s="7" t="s">
        <v>15</v>
      </c>
      <c r="B13" s="7">
        <v>27287300</v>
      </c>
      <c r="C13" s="7" t="s">
        <v>16</v>
      </c>
      <c r="D13" s="8" t="s">
        <v>27</v>
      </c>
      <c r="E13" s="9">
        <v>217.3</v>
      </c>
      <c r="F13" s="10">
        <v>0.4602</v>
      </c>
      <c r="G13" s="10">
        <f t="shared" si="0"/>
        <v>1.0000146000000001</v>
      </c>
      <c r="H13" s="10">
        <v>99600</v>
      </c>
      <c r="I13" s="10">
        <f t="shared" si="1"/>
        <v>99.601454160000003</v>
      </c>
    </row>
    <row r="14" spans="1:9">
      <c r="A14" s="7" t="s">
        <v>15</v>
      </c>
      <c r="B14" s="7">
        <v>27287410</v>
      </c>
      <c r="C14" s="7" t="s">
        <v>28</v>
      </c>
      <c r="D14" s="8" t="s">
        <v>29</v>
      </c>
      <c r="E14" s="9">
        <v>217.3</v>
      </c>
      <c r="F14" s="10">
        <v>0.4602</v>
      </c>
      <c r="G14" s="10">
        <f t="shared" si="0"/>
        <v>1.0000146000000001</v>
      </c>
      <c r="H14" s="10">
        <v>99600</v>
      </c>
      <c r="I14" s="10">
        <f t="shared" si="1"/>
        <v>99.601454160000003</v>
      </c>
    </row>
    <row r="15" spans="1:9">
      <c r="A15" s="7" t="s">
        <v>15</v>
      </c>
      <c r="B15" s="7">
        <v>27287410</v>
      </c>
      <c r="C15" s="7" t="s">
        <v>28</v>
      </c>
      <c r="D15" s="8" t="s">
        <v>30</v>
      </c>
      <c r="E15" s="9">
        <v>217.3</v>
      </c>
      <c r="F15" s="10">
        <v>0.4602</v>
      </c>
      <c r="G15" s="10">
        <f t="shared" si="0"/>
        <v>1.0000146000000001</v>
      </c>
      <c r="H15" s="10">
        <v>99600</v>
      </c>
      <c r="I15" s="10">
        <f t="shared" si="1"/>
        <v>99.601454160000003</v>
      </c>
    </row>
    <row r="16" spans="1:9">
      <c r="A16" s="7" t="s">
        <v>15</v>
      </c>
      <c r="B16" s="7">
        <v>27287410</v>
      </c>
      <c r="C16" s="7" t="s">
        <v>28</v>
      </c>
      <c r="D16" s="8" t="s">
        <v>31</v>
      </c>
      <c r="E16" s="9">
        <v>217.3</v>
      </c>
      <c r="F16" s="10">
        <v>0.4602</v>
      </c>
      <c r="G16" s="10">
        <f t="shared" si="0"/>
        <v>1.0000146000000001</v>
      </c>
      <c r="H16" s="10">
        <v>99600</v>
      </c>
      <c r="I16" s="10">
        <f t="shared" si="1"/>
        <v>99.601454160000003</v>
      </c>
    </row>
    <row r="17" spans="1:9">
      <c r="A17" s="7" t="s">
        <v>15</v>
      </c>
      <c r="B17" s="7">
        <v>27287410</v>
      </c>
      <c r="C17" s="7" t="s">
        <v>28</v>
      </c>
      <c r="D17" s="8" t="s">
        <v>32</v>
      </c>
      <c r="E17" s="9">
        <v>217.3</v>
      </c>
      <c r="F17" s="10">
        <v>0.4602</v>
      </c>
      <c r="G17" s="10">
        <f t="shared" si="0"/>
        <v>1.0000146000000001</v>
      </c>
      <c r="H17" s="10">
        <v>148800</v>
      </c>
      <c r="I17" s="10">
        <f t="shared" si="1"/>
        <v>148.80217248</v>
      </c>
    </row>
    <row r="18" spans="1:9">
      <c r="A18" s="7"/>
      <c r="B18" s="7"/>
      <c r="C18" s="7"/>
      <c r="D18" s="8"/>
      <c r="E18" s="9"/>
      <c r="F18" s="10"/>
      <c r="G18" s="10">
        <f t="shared" si="0"/>
        <v>0</v>
      </c>
      <c r="H18" s="10"/>
      <c r="I18" s="10">
        <f t="shared" si="1"/>
        <v>0</v>
      </c>
    </row>
    <row r="19" spans="1:9">
      <c r="A19" s="7"/>
      <c r="B19" s="7"/>
      <c r="C19" s="7"/>
      <c r="D19" s="8"/>
      <c r="E19" s="9"/>
      <c r="F19" s="10"/>
      <c r="G19" s="10">
        <f t="shared" si="0"/>
        <v>0</v>
      </c>
      <c r="H19" s="10"/>
      <c r="I19" s="10">
        <f t="shared" si="1"/>
        <v>0</v>
      </c>
    </row>
    <row r="20" spans="1:9">
      <c r="A20" s="7"/>
      <c r="B20" s="7"/>
      <c r="C20" s="7"/>
      <c r="D20" s="8"/>
      <c r="E20" s="9"/>
      <c r="F20" s="10"/>
      <c r="G20" s="10">
        <f t="shared" si="0"/>
        <v>0</v>
      </c>
      <c r="H20" s="10"/>
      <c r="I20" s="10">
        <f t="shared" si="1"/>
        <v>0</v>
      </c>
    </row>
    <row r="21" spans="1:9">
      <c r="A21" s="7"/>
      <c r="B21" s="7"/>
      <c r="C21" s="7"/>
      <c r="D21" s="8"/>
      <c r="E21" s="9"/>
      <c r="F21" s="10"/>
      <c r="G21" s="10">
        <f t="shared" si="0"/>
        <v>0</v>
      </c>
      <c r="H21" s="10"/>
      <c r="I21" s="10">
        <f t="shared" si="1"/>
        <v>0</v>
      </c>
    </row>
    <row r="22" spans="1:9">
      <c r="A22" s="7"/>
      <c r="B22" s="7"/>
      <c r="C22" s="7"/>
      <c r="D22" s="8"/>
      <c r="E22" s="9"/>
      <c r="F22" s="10"/>
      <c r="G22" s="10">
        <f t="shared" si="0"/>
        <v>0</v>
      </c>
      <c r="H22" s="10"/>
      <c r="I22" s="10">
        <f t="shared" si="1"/>
        <v>0</v>
      </c>
    </row>
    <row r="23" spans="1:9">
      <c r="A23" s="7"/>
      <c r="B23" s="7"/>
      <c r="C23" s="7"/>
      <c r="D23" s="8"/>
      <c r="E23" s="9"/>
      <c r="F23" s="10"/>
      <c r="G23" s="10">
        <f t="shared" si="0"/>
        <v>0</v>
      </c>
      <c r="H23" s="10"/>
      <c r="I23" s="10">
        <f t="shared" si="1"/>
        <v>0</v>
      </c>
    </row>
    <row r="24" spans="1:9">
      <c r="A24" s="7"/>
      <c r="B24" s="7"/>
      <c r="C24" s="7"/>
      <c r="D24" s="8"/>
      <c r="E24" s="9"/>
      <c r="F24" s="10"/>
      <c r="G24" s="10">
        <f t="shared" si="0"/>
        <v>0</v>
      </c>
      <c r="H24" s="10"/>
      <c r="I24" s="10">
        <f t="shared" si="1"/>
        <v>0</v>
      </c>
    </row>
    <row r="25" spans="1:9">
      <c r="A25" s="7"/>
      <c r="B25" s="7"/>
      <c r="C25" s="7"/>
      <c r="D25" s="8"/>
      <c r="E25" s="9"/>
      <c r="F25" s="10"/>
      <c r="G25" s="10">
        <f t="shared" si="0"/>
        <v>0</v>
      </c>
      <c r="H25" s="10"/>
      <c r="I25" s="10">
        <f t="shared" si="1"/>
        <v>0</v>
      </c>
    </row>
    <row r="26" spans="1:9">
      <c r="A26" s="7"/>
      <c r="B26" s="7"/>
      <c r="C26" s="7"/>
      <c r="D26" s="8"/>
      <c r="E26" s="9"/>
      <c r="F26" s="10"/>
      <c r="G26" s="10">
        <f t="shared" si="0"/>
        <v>0</v>
      </c>
      <c r="H26" s="10"/>
      <c r="I26" s="10">
        <f t="shared" si="1"/>
        <v>0</v>
      </c>
    </row>
    <row r="27" spans="1:9">
      <c r="A27" s="7"/>
      <c r="B27" s="7"/>
      <c r="C27" s="7"/>
      <c r="D27" s="8"/>
      <c r="E27" s="9"/>
      <c r="F27" s="10"/>
      <c r="G27" s="10">
        <f t="shared" si="0"/>
        <v>0</v>
      </c>
      <c r="H27" s="10"/>
      <c r="I27" s="10">
        <f t="shared" si="1"/>
        <v>0</v>
      </c>
    </row>
    <row r="28" spans="1:9">
      <c r="A28" s="7"/>
      <c r="B28" s="7"/>
      <c r="C28" s="7"/>
      <c r="D28" s="8"/>
      <c r="E28" s="9"/>
      <c r="F28" s="10"/>
      <c r="G28" s="10">
        <f t="shared" si="0"/>
        <v>0</v>
      </c>
      <c r="H28" s="10"/>
      <c r="I28" s="10">
        <f t="shared" si="1"/>
        <v>0</v>
      </c>
    </row>
    <row r="29" spans="1:9">
      <c r="A29" s="7"/>
      <c r="B29" s="7"/>
      <c r="C29" s="7"/>
      <c r="D29" s="8"/>
      <c r="E29" s="9"/>
      <c r="F29" s="10"/>
      <c r="G29" s="10">
        <f t="shared" si="0"/>
        <v>0</v>
      </c>
      <c r="H29" s="10"/>
      <c r="I29" s="10">
        <f t="shared" si="1"/>
        <v>0</v>
      </c>
    </row>
    <row r="30" spans="1:9" ht="15.6">
      <c r="A30" s="11"/>
      <c r="B30" s="11"/>
      <c r="C30" s="11"/>
      <c r="D30" s="12"/>
      <c r="E30" s="14" t="s">
        <v>33</v>
      </c>
      <c r="F30" s="15"/>
      <c r="G30" s="15"/>
      <c r="H30" s="16"/>
      <c r="I30" s="13">
        <f>SUM(I5:I29)</f>
        <v>1438.0870795200001</v>
      </c>
    </row>
    <row r="31" spans="1:9" ht="15.6">
      <c r="A31" s="11"/>
      <c r="B31" s="11"/>
      <c r="C31" s="11"/>
      <c r="D31" s="12"/>
      <c r="E31" s="14" t="s">
        <v>34</v>
      </c>
      <c r="F31" s="15"/>
      <c r="G31" s="15"/>
      <c r="H31" s="16"/>
      <c r="I31" s="13">
        <f>(I$30)/1000</f>
        <v>1.43808707952</v>
      </c>
    </row>
  </sheetData>
  <mergeCells count="5">
    <mergeCell ref="C1:I1"/>
    <mergeCell ref="C2:I2"/>
    <mergeCell ref="C3:I3"/>
    <mergeCell ref="E30:H30"/>
    <mergeCell ref="E31:H31"/>
  </mergeCells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1"/>
  <sheetViews>
    <sheetView topLeftCell="A7" workbookViewId="0">
      <selection activeCell="K31" sqref="K31"/>
    </sheetView>
  </sheetViews>
  <sheetFormatPr defaultRowHeight="13.9"/>
  <cols>
    <col min="1" max="1" width="32" bestFit="1" customWidth="1"/>
    <col min="8" max="8" width="12.375" customWidth="1"/>
  </cols>
  <sheetData>
    <row r="1" spans="1:9" ht="22.9">
      <c r="A1" s="1" t="s">
        <v>0</v>
      </c>
      <c r="B1" s="2"/>
      <c r="C1" s="18" t="s">
        <v>1</v>
      </c>
      <c r="D1" s="18"/>
      <c r="E1" s="18"/>
      <c r="F1" s="18"/>
      <c r="G1" s="18"/>
      <c r="H1" s="18"/>
      <c r="I1" s="18"/>
    </row>
    <row r="2" spans="1:9" ht="22.9">
      <c r="A2" s="2" t="s">
        <v>2</v>
      </c>
      <c r="B2" s="2"/>
      <c r="C2" s="18" t="s">
        <v>37</v>
      </c>
      <c r="D2" s="18"/>
      <c r="E2" s="18"/>
      <c r="F2" s="18"/>
      <c r="G2" s="18"/>
      <c r="H2" s="18"/>
      <c r="I2" s="18"/>
    </row>
    <row r="3" spans="1:9" ht="22.9">
      <c r="A3" s="1" t="s">
        <v>4</v>
      </c>
      <c r="B3" s="2"/>
      <c r="C3" s="17" t="s">
        <v>39</v>
      </c>
      <c r="D3" s="17"/>
      <c r="E3" s="17"/>
      <c r="F3" s="17"/>
      <c r="G3" s="17"/>
      <c r="H3" s="17"/>
      <c r="I3" s="17"/>
    </row>
    <row r="4" spans="1:9" ht="69">
      <c r="A4" s="3" t="s">
        <v>6</v>
      </c>
      <c r="B4" s="3" t="s">
        <v>7</v>
      </c>
      <c r="C4" s="4" t="s">
        <v>8</v>
      </c>
      <c r="D4" s="3" t="s">
        <v>9</v>
      </c>
      <c r="E4" s="4" t="s">
        <v>10</v>
      </c>
      <c r="F4" s="5" t="s">
        <v>11</v>
      </c>
      <c r="G4" s="5" t="s">
        <v>12</v>
      </c>
      <c r="H4" s="5" t="s">
        <v>13</v>
      </c>
      <c r="I4" s="6" t="s">
        <v>14</v>
      </c>
    </row>
    <row r="5" spans="1:9">
      <c r="A5" s="7" t="s">
        <v>15</v>
      </c>
      <c r="B5" s="7">
        <v>27287300</v>
      </c>
      <c r="C5" s="7" t="s">
        <v>16</v>
      </c>
      <c r="D5" s="8" t="s">
        <v>17</v>
      </c>
      <c r="E5" s="9">
        <v>217.3</v>
      </c>
      <c r="F5" s="10">
        <v>5.8500000000000003E-2</v>
      </c>
      <c r="G5" s="10">
        <f t="shared" ref="G5:G29" si="0">(F5/100)*E5</f>
        <v>0.1271205</v>
      </c>
      <c r="H5" s="10">
        <v>199200</v>
      </c>
      <c r="I5" s="10">
        <f>(G5*H5)/1000</f>
        <v>25.322403599999998</v>
      </c>
    </row>
    <row r="6" spans="1:9">
      <c r="A6" s="7" t="s">
        <v>15</v>
      </c>
      <c r="B6" s="7">
        <v>27287300</v>
      </c>
      <c r="C6" s="7" t="s">
        <v>16</v>
      </c>
      <c r="D6" s="8" t="s">
        <v>18</v>
      </c>
      <c r="E6" s="9">
        <v>217.3</v>
      </c>
      <c r="F6" s="10">
        <v>5.8500000000000003E-2</v>
      </c>
      <c r="G6" s="10">
        <f t="shared" si="0"/>
        <v>0.1271205</v>
      </c>
      <c r="H6" s="10">
        <v>99600</v>
      </c>
      <c r="I6" s="10">
        <f t="shared" ref="I6:I29" si="1">(G6*H6)/1000</f>
        <v>12.661201799999999</v>
      </c>
    </row>
    <row r="7" spans="1:9">
      <c r="A7" s="7" t="s">
        <v>19</v>
      </c>
      <c r="B7" s="7">
        <v>27287330</v>
      </c>
      <c r="C7" s="7" t="s">
        <v>20</v>
      </c>
      <c r="D7" s="8" t="s">
        <v>21</v>
      </c>
      <c r="E7" s="9">
        <v>195</v>
      </c>
      <c r="F7" s="10">
        <v>0.1193</v>
      </c>
      <c r="G7" s="10">
        <f t="shared" si="0"/>
        <v>0.23263500000000001</v>
      </c>
      <c r="H7" s="10">
        <v>112800</v>
      </c>
      <c r="I7" s="10">
        <f t="shared" si="1"/>
        <v>26.241228</v>
      </c>
    </row>
    <row r="8" spans="1:9">
      <c r="A8" s="7" t="s">
        <v>19</v>
      </c>
      <c r="B8" s="7">
        <v>27287330</v>
      </c>
      <c r="C8" s="7" t="s">
        <v>20</v>
      </c>
      <c r="D8" s="8" t="s">
        <v>22</v>
      </c>
      <c r="E8" s="9">
        <v>195</v>
      </c>
      <c r="F8" s="10">
        <v>0.1193</v>
      </c>
      <c r="G8" s="10">
        <f t="shared" si="0"/>
        <v>0.23263500000000001</v>
      </c>
      <c r="H8" s="10">
        <v>112800</v>
      </c>
      <c r="I8" s="10">
        <f t="shared" si="1"/>
        <v>26.241228</v>
      </c>
    </row>
    <row r="9" spans="1:9">
      <c r="A9" s="7" t="s">
        <v>19</v>
      </c>
      <c r="B9" s="7">
        <v>27287330</v>
      </c>
      <c r="C9" s="7" t="s">
        <v>20</v>
      </c>
      <c r="D9" s="8" t="s">
        <v>23</v>
      </c>
      <c r="E9" s="9">
        <v>195</v>
      </c>
      <c r="F9" s="10">
        <v>0.1193</v>
      </c>
      <c r="G9" s="10">
        <f t="shared" si="0"/>
        <v>0.23263500000000001</v>
      </c>
      <c r="H9" s="10">
        <v>112800</v>
      </c>
      <c r="I9" s="10">
        <f t="shared" si="1"/>
        <v>26.241228</v>
      </c>
    </row>
    <row r="10" spans="1:9">
      <c r="A10" s="7" t="s">
        <v>19</v>
      </c>
      <c r="B10" s="7">
        <v>27287330</v>
      </c>
      <c r="C10" s="7" t="s">
        <v>20</v>
      </c>
      <c r="D10" s="8" t="s">
        <v>24</v>
      </c>
      <c r="E10" s="9">
        <v>195</v>
      </c>
      <c r="F10" s="10">
        <v>0.1193</v>
      </c>
      <c r="G10" s="10">
        <f t="shared" si="0"/>
        <v>0.23263500000000001</v>
      </c>
      <c r="H10" s="10">
        <v>112800</v>
      </c>
      <c r="I10" s="10">
        <f t="shared" si="1"/>
        <v>26.241228</v>
      </c>
    </row>
    <row r="11" spans="1:9">
      <c r="A11" s="7" t="s">
        <v>19</v>
      </c>
      <c r="B11" s="7">
        <v>27287330</v>
      </c>
      <c r="C11" s="7" t="s">
        <v>20</v>
      </c>
      <c r="D11" s="8" t="s">
        <v>25</v>
      </c>
      <c r="E11" s="9">
        <v>195</v>
      </c>
      <c r="F11" s="10">
        <v>0.1193</v>
      </c>
      <c r="G11" s="10">
        <f t="shared" si="0"/>
        <v>0.23263500000000001</v>
      </c>
      <c r="H11" s="10">
        <v>97584</v>
      </c>
      <c r="I11" s="10">
        <f t="shared" si="1"/>
        <v>22.701453840000003</v>
      </c>
    </row>
    <row r="12" spans="1:9">
      <c r="A12" s="7" t="s">
        <v>15</v>
      </c>
      <c r="B12" s="7">
        <v>27287300</v>
      </c>
      <c r="C12" s="7" t="s">
        <v>16</v>
      </c>
      <c r="D12" s="8" t="s">
        <v>26</v>
      </c>
      <c r="E12" s="9">
        <v>217.3</v>
      </c>
      <c r="F12" s="10">
        <v>5.8500000000000003E-2</v>
      </c>
      <c r="G12" s="10">
        <f t="shared" si="0"/>
        <v>0.1271205</v>
      </c>
      <c r="H12" s="10">
        <v>99600</v>
      </c>
      <c r="I12" s="10">
        <f t="shared" si="1"/>
        <v>12.661201799999999</v>
      </c>
    </row>
    <row r="13" spans="1:9">
      <c r="A13" s="7" t="s">
        <v>15</v>
      </c>
      <c r="B13" s="7">
        <v>27287300</v>
      </c>
      <c r="C13" s="7" t="s">
        <v>16</v>
      </c>
      <c r="D13" s="8" t="s">
        <v>27</v>
      </c>
      <c r="E13" s="9">
        <v>217.3</v>
      </c>
      <c r="F13" s="10">
        <v>5.8500000000000003E-2</v>
      </c>
      <c r="G13" s="10">
        <f t="shared" si="0"/>
        <v>0.1271205</v>
      </c>
      <c r="H13" s="10">
        <v>99600</v>
      </c>
      <c r="I13" s="10">
        <f t="shared" si="1"/>
        <v>12.661201799999999</v>
      </c>
    </row>
    <row r="14" spans="1:9">
      <c r="A14" s="7" t="s">
        <v>15</v>
      </c>
      <c r="B14" s="7">
        <v>27287410</v>
      </c>
      <c r="C14" s="7" t="s">
        <v>28</v>
      </c>
      <c r="D14" s="8" t="s">
        <v>29</v>
      </c>
      <c r="E14" s="9">
        <v>217.3</v>
      </c>
      <c r="F14" s="10">
        <v>5.8500000000000003E-2</v>
      </c>
      <c r="G14" s="10">
        <f t="shared" si="0"/>
        <v>0.1271205</v>
      </c>
      <c r="H14" s="10">
        <v>99600</v>
      </c>
      <c r="I14" s="10">
        <f t="shared" si="1"/>
        <v>12.661201799999999</v>
      </c>
    </row>
    <row r="15" spans="1:9">
      <c r="A15" s="7" t="s">
        <v>15</v>
      </c>
      <c r="B15" s="7">
        <v>27287410</v>
      </c>
      <c r="C15" s="7" t="s">
        <v>28</v>
      </c>
      <c r="D15" s="8" t="s">
        <v>30</v>
      </c>
      <c r="E15" s="9">
        <v>217.3</v>
      </c>
      <c r="F15" s="10">
        <v>5.8500000000000003E-2</v>
      </c>
      <c r="G15" s="10">
        <f t="shared" si="0"/>
        <v>0.1271205</v>
      </c>
      <c r="H15" s="10">
        <v>99600</v>
      </c>
      <c r="I15" s="10">
        <f t="shared" si="1"/>
        <v>12.661201799999999</v>
      </c>
    </row>
    <row r="16" spans="1:9">
      <c r="A16" s="7" t="s">
        <v>15</v>
      </c>
      <c r="B16" s="7">
        <v>27287410</v>
      </c>
      <c r="C16" s="7" t="s">
        <v>28</v>
      </c>
      <c r="D16" s="8" t="s">
        <v>31</v>
      </c>
      <c r="E16" s="9">
        <v>217.3</v>
      </c>
      <c r="F16" s="10">
        <v>5.8500000000000003E-2</v>
      </c>
      <c r="G16" s="10">
        <f t="shared" si="0"/>
        <v>0.1271205</v>
      </c>
      <c r="H16" s="10">
        <v>99600</v>
      </c>
      <c r="I16" s="10">
        <f t="shared" si="1"/>
        <v>12.661201799999999</v>
      </c>
    </row>
    <row r="17" spans="1:9">
      <c r="A17" s="7" t="s">
        <v>15</v>
      </c>
      <c r="B17" s="7">
        <v>27287410</v>
      </c>
      <c r="C17" s="7" t="s">
        <v>28</v>
      </c>
      <c r="D17" s="8" t="s">
        <v>32</v>
      </c>
      <c r="E17" s="9">
        <v>217.3</v>
      </c>
      <c r="F17" s="10">
        <v>5.8500000000000003E-2</v>
      </c>
      <c r="G17" s="10">
        <f t="shared" si="0"/>
        <v>0.1271205</v>
      </c>
      <c r="H17" s="10">
        <v>148800</v>
      </c>
      <c r="I17" s="10">
        <f t="shared" si="1"/>
        <v>18.915530399999998</v>
      </c>
    </row>
    <row r="18" spans="1:9">
      <c r="A18" s="7"/>
      <c r="B18" s="7"/>
      <c r="C18" s="7"/>
      <c r="D18" s="8"/>
      <c r="E18" s="9"/>
      <c r="F18" s="10"/>
      <c r="G18" s="10">
        <f t="shared" si="0"/>
        <v>0</v>
      </c>
      <c r="H18" s="10"/>
      <c r="I18" s="10">
        <f t="shared" si="1"/>
        <v>0</v>
      </c>
    </row>
    <row r="19" spans="1:9">
      <c r="A19" s="7"/>
      <c r="B19" s="7"/>
      <c r="C19" s="7"/>
      <c r="D19" s="8"/>
      <c r="E19" s="9"/>
      <c r="F19" s="10"/>
      <c r="G19" s="10">
        <f t="shared" si="0"/>
        <v>0</v>
      </c>
      <c r="H19" s="10"/>
      <c r="I19" s="10">
        <f t="shared" si="1"/>
        <v>0</v>
      </c>
    </row>
    <row r="20" spans="1:9">
      <c r="A20" s="7"/>
      <c r="B20" s="7"/>
      <c r="C20" s="7"/>
      <c r="D20" s="8"/>
      <c r="E20" s="9"/>
      <c r="F20" s="10"/>
      <c r="G20" s="10">
        <f t="shared" si="0"/>
        <v>0</v>
      </c>
      <c r="H20" s="10"/>
      <c r="I20" s="10">
        <f t="shared" si="1"/>
        <v>0</v>
      </c>
    </row>
    <row r="21" spans="1:9">
      <c r="A21" s="7"/>
      <c r="B21" s="7"/>
      <c r="C21" s="7"/>
      <c r="D21" s="8"/>
      <c r="E21" s="9"/>
      <c r="F21" s="10"/>
      <c r="G21" s="10">
        <f t="shared" si="0"/>
        <v>0</v>
      </c>
      <c r="H21" s="10"/>
      <c r="I21" s="10">
        <f t="shared" si="1"/>
        <v>0</v>
      </c>
    </row>
    <row r="22" spans="1:9">
      <c r="A22" s="7"/>
      <c r="B22" s="7"/>
      <c r="C22" s="7"/>
      <c r="D22" s="8"/>
      <c r="E22" s="9"/>
      <c r="F22" s="10"/>
      <c r="G22" s="10">
        <f t="shared" si="0"/>
        <v>0</v>
      </c>
      <c r="H22" s="10"/>
      <c r="I22" s="10">
        <f t="shared" si="1"/>
        <v>0</v>
      </c>
    </row>
    <row r="23" spans="1:9">
      <c r="A23" s="7"/>
      <c r="B23" s="7"/>
      <c r="C23" s="7"/>
      <c r="D23" s="8"/>
      <c r="E23" s="9"/>
      <c r="F23" s="10"/>
      <c r="G23" s="10">
        <f t="shared" si="0"/>
        <v>0</v>
      </c>
      <c r="H23" s="10"/>
      <c r="I23" s="10">
        <f t="shared" si="1"/>
        <v>0</v>
      </c>
    </row>
    <row r="24" spans="1:9">
      <c r="A24" s="7"/>
      <c r="B24" s="7"/>
      <c r="C24" s="7"/>
      <c r="D24" s="8"/>
      <c r="E24" s="9"/>
      <c r="F24" s="10"/>
      <c r="G24" s="10">
        <f t="shared" si="0"/>
        <v>0</v>
      </c>
      <c r="H24" s="10"/>
      <c r="I24" s="10">
        <f t="shared" si="1"/>
        <v>0</v>
      </c>
    </row>
    <row r="25" spans="1:9">
      <c r="A25" s="7"/>
      <c r="B25" s="7"/>
      <c r="C25" s="7"/>
      <c r="D25" s="8"/>
      <c r="E25" s="9"/>
      <c r="F25" s="10"/>
      <c r="G25" s="10">
        <f t="shared" si="0"/>
        <v>0</v>
      </c>
      <c r="H25" s="10"/>
      <c r="I25" s="10">
        <f t="shared" si="1"/>
        <v>0</v>
      </c>
    </row>
    <row r="26" spans="1:9">
      <c r="A26" s="7"/>
      <c r="B26" s="7"/>
      <c r="C26" s="7"/>
      <c r="D26" s="8"/>
      <c r="E26" s="9"/>
      <c r="F26" s="10"/>
      <c r="G26" s="10">
        <f t="shared" si="0"/>
        <v>0</v>
      </c>
      <c r="H26" s="10"/>
      <c r="I26" s="10">
        <f t="shared" si="1"/>
        <v>0</v>
      </c>
    </row>
    <row r="27" spans="1:9">
      <c r="A27" s="7"/>
      <c r="B27" s="7"/>
      <c r="C27" s="7"/>
      <c r="D27" s="8"/>
      <c r="E27" s="9"/>
      <c r="F27" s="10"/>
      <c r="G27" s="10">
        <f t="shared" si="0"/>
        <v>0</v>
      </c>
      <c r="H27" s="10"/>
      <c r="I27" s="10">
        <f t="shared" si="1"/>
        <v>0</v>
      </c>
    </row>
    <row r="28" spans="1:9">
      <c r="A28" s="7"/>
      <c r="B28" s="7"/>
      <c r="C28" s="7"/>
      <c r="D28" s="8"/>
      <c r="E28" s="9"/>
      <c r="F28" s="10"/>
      <c r="G28" s="10">
        <f t="shared" si="0"/>
        <v>0</v>
      </c>
      <c r="H28" s="10"/>
      <c r="I28" s="10">
        <f t="shared" si="1"/>
        <v>0</v>
      </c>
    </row>
    <row r="29" spans="1:9">
      <c r="A29" s="7"/>
      <c r="B29" s="7"/>
      <c r="C29" s="7"/>
      <c r="D29" s="8"/>
      <c r="E29" s="9"/>
      <c r="F29" s="10"/>
      <c r="G29" s="10">
        <f t="shared" si="0"/>
        <v>0</v>
      </c>
      <c r="H29" s="10"/>
      <c r="I29" s="10">
        <f t="shared" si="1"/>
        <v>0</v>
      </c>
    </row>
    <row r="30" spans="1:9" ht="15.6">
      <c r="A30" s="11"/>
      <c r="B30" s="11"/>
      <c r="C30" s="11"/>
      <c r="D30" s="12"/>
      <c r="E30" s="14" t="s">
        <v>33</v>
      </c>
      <c r="F30" s="15"/>
      <c r="G30" s="15"/>
      <c r="H30" s="16"/>
      <c r="I30" s="13">
        <f>SUM(I5:I29)</f>
        <v>247.87151063999994</v>
      </c>
    </row>
    <row r="31" spans="1:9" ht="15.6">
      <c r="A31" s="11"/>
      <c r="B31" s="11"/>
      <c r="C31" s="11"/>
      <c r="D31" s="12"/>
      <c r="E31" s="14" t="s">
        <v>34</v>
      </c>
      <c r="F31" s="15"/>
      <c r="G31" s="15"/>
      <c r="H31" s="16"/>
      <c r="I31" s="13">
        <f>(I$30)/1000</f>
        <v>0.24787151063999993</v>
      </c>
    </row>
  </sheetData>
  <mergeCells count="5">
    <mergeCell ref="C1:I1"/>
    <mergeCell ref="C2:I2"/>
    <mergeCell ref="C3:I3"/>
    <mergeCell ref="E30:H30"/>
    <mergeCell ref="E31:H31"/>
  </mergeCells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1"/>
  <sheetViews>
    <sheetView workbookViewId="0">
      <selection activeCell="F4" sqref="F4"/>
    </sheetView>
  </sheetViews>
  <sheetFormatPr defaultRowHeight="13.9"/>
  <cols>
    <col min="1" max="1" width="32" bestFit="1" customWidth="1"/>
  </cols>
  <sheetData>
    <row r="1" spans="1:9" ht="22.9">
      <c r="A1" s="1" t="s">
        <v>0</v>
      </c>
      <c r="B1" s="2"/>
      <c r="C1" s="18" t="s">
        <v>40</v>
      </c>
      <c r="D1" s="18"/>
      <c r="E1" s="18"/>
      <c r="F1" s="18"/>
      <c r="G1" s="18"/>
      <c r="H1" s="18"/>
      <c r="I1" s="18"/>
    </row>
    <row r="2" spans="1:9" ht="22.9">
      <c r="A2" s="2" t="s">
        <v>2</v>
      </c>
      <c r="B2" s="2"/>
      <c r="C2" s="18"/>
      <c r="D2" s="18"/>
      <c r="E2" s="18"/>
      <c r="F2" s="18"/>
      <c r="G2" s="18"/>
      <c r="H2" s="18"/>
      <c r="I2" s="18"/>
    </row>
    <row r="3" spans="1:9" ht="22.9">
      <c r="A3" s="1" t="s">
        <v>4</v>
      </c>
      <c r="B3" s="2"/>
      <c r="C3" s="17" t="s">
        <v>41</v>
      </c>
      <c r="D3" s="17"/>
      <c r="E3" s="17"/>
      <c r="F3" s="17"/>
      <c r="G3" s="17"/>
      <c r="H3" s="17"/>
      <c r="I3" s="17"/>
    </row>
    <row r="4" spans="1:9" ht="69">
      <c r="A4" s="3" t="s">
        <v>6</v>
      </c>
      <c r="B4" s="3" t="s">
        <v>7</v>
      </c>
      <c r="C4" s="4" t="s">
        <v>8</v>
      </c>
      <c r="D4" s="3" t="s">
        <v>9</v>
      </c>
      <c r="E4" s="4" t="s">
        <v>10</v>
      </c>
      <c r="F4" s="5" t="s">
        <v>11</v>
      </c>
      <c r="G4" s="5" t="s">
        <v>12</v>
      </c>
      <c r="H4" s="5" t="s">
        <v>13</v>
      </c>
      <c r="I4" s="6" t="s">
        <v>14</v>
      </c>
    </row>
    <row r="5" spans="1:9">
      <c r="A5" s="7"/>
      <c r="B5" s="7"/>
      <c r="C5" s="7"/>
      <c r="D5" s="8"/>
      <c r="E5" s="9"/>
      <c r="F5" s="10"/>
      <c r="G5" s="10">
        <f t="shared" ref="G5:G29" si="0">(F5/100)*E5</f>
        <v>0</v>
      </c>
      <c r="H5" s="10"/>
      <c r="I5" s="10">
        <f>(G5*H5)/1000</f>
        <v>0</v>
      </c>
    </row>
    <row r="6" spans="1:9">
      <c r="A6" s="7"/>
      <c r="B6" s="7"/>
      <c r="C6" s="7"/>
      <c r="D6" s="8"/>
      <c r="E6" s="9"/>
      <c r="F6" s="10"/>
      <c r="G6" s="10">
        <f t="shared" si="0"/>
        <v>0</v>
      </c>
      <c r="H6" s="10"/>
      <c r="I6" s="10">
        <f t="shared" ref="I6:I29" si="1">(G6*H6)/1000</f>
        <v>0</v>
      </c>
    </row>
    <row r="7" spans="1:9">
      <c r="A7" s="7"/>
      <c r="B7" s="7"/>
      <c r="C7" s="7"/>
      <c r="D7" s="8"/>
      <c r="E7" s="9"/>
      <c r="F7" s="10"/>
      <c r="G7" s="10">
        <f t="shared" si="0"/>
        <v>0</v>
      </c>
      <c r="H7" s="10"/>
      <c r="I7" s="10">
        <f t="shared" si="1"/>
        <v>0</v>
      </c>
    </row>
    <row r="8" spans="1:9">
      <c r="A8" s="7"/>
      <c r="B8" s="7"/>
      <c r="C8" s="7"/>
      <c r="D8" s="8"/>
      <c r="E8" s="9"/>
      <c r="F8" s="10"/>
      <c r="G8" s="10">
        <f t="shared" si="0"/>
        <v>0</v>
      </c>
      <c r="H8" s="10"/>
      <c r="I8" s="10">
        <f t="shared" si="1"/>
        <v>0</v>
      </c>
    </row>
    <row r="9" spans="1:9">
      <c r="A9" s="7"/>
      <c r="B9" s="7"/>
      <c r="C9" s="7"/>
      <c r="D9" s="8"/>
      <c r="E9" s="9"/>
      <c r="F9" s="10"/>
      <c r="G9" s="10">
        <f t="shared" si="0"/>
        <v>0</v>
      </c>
      <c r="H9" s="10"/>
      <c r="I9" s="10">
        <f t="shared" si="1"/>
        <v>0</v>
      </c>
    </row>
    <row r="10" spans="1:9">
      <c r="A10" s="7"/>
      <c r="B10" s="7"/>
      <c r="C10" s="7"/>
      <c r="D10" s="8"/>
      <c r="E10" s="9"/>
      <c r="F10" s="10"/>
      <c r="G10" s="10">
        <f t="shared" si="0"/>
        <v>0</v>
      </c>
      <c r="H10" s="10"/>
      <c r="I10" s="10">
        <f t="shared" si="1"/>
        <v>0</v>
      </c>
    </row>
    <row r="11" spans="1:9">
      <c r="A11" s="7"/>
      <c r="B11" s="7"/>
      <c r="C11" s="7"/>
      <c r="D11" s="8"/>
      <c r="E11" s="9"/>
      <c r="F11" s="10"/>
      <c r="G11" s="10">
        <f t="shared" si="0"/>
        <v>0</v>
      </c>
      <c r="H11" s="10"/>
      <c r="I11" s="10">
        <f t="shared" si="1"/>
        <v>0</v>
      </c>
    </row>
    <row r="12" spans="1:9">
      <c r="A12" s="7"/>
      <c r="B12" s="7"/>
      <c r="C12" s="7"/>
      <c r="D12" s="8"/>
      <c r="E12" s="9"/>
      <c r="F12" s="10"/>
      <c r="G12" s="10">
        <f t="shared" si="0"/>
        <v>0</v>
      </c>
      <c r="H12" s="10"/>
      <c r="I12" s="10">
        <f t="shared" si="1"/>
        <v>0</v>
      </c>
    </row>
    <row r="13" spans="1:9">
      <c r="A13" s="7"/>
      <c r="B13" s="7"/>
      <c r="C13" s="7"/>
      <c r="D13" s="8"/>
      <c r="E13" s="9"/>
      <c r="F13" s="10"/>
      <c r="G13" s="10">
        <f t="shared" si="0"/>
        <v>0</v>
      </c>
      <c r="H13" s="10"/>
      <c r="I13" s="10">
        <f t="shared" si="1"/>
        <v>0</v>
      </c>
    </row>
    <row r="14" spans="1:9">
      <c r="A14" s="7"/>
      <c r="B14" s="7"/>
      <c r="C14" s="7"/>
      <c r="D14" s="8"/>
      <c r="E14" s="9"/>
      <c r="F14" s="10"/>
      <c r="G14" s="10">
        <f t="shared" si="0"/>
        <v>0</v>
      </c>
      <c r="H14" s="10"/>
      <c r="I14" s="10">
        <f t="shared" si="1"/>
        <v>0</v>
      </c>
    </row>
    <row r="15" spans="1:9">
      <c r="A15" s="7"/>
      <c r="B15" s="7"/>
      <c r="C15" s="7"/>
      <c r="D15" s="8"/>
      <c r="E15" s="9"/>
      <c r="F15" s="10"/>
      <c r="G15" s="10">
        <f t="shared" si="0"/>
        <v>0</v>
      </c>
      <c r="H15" s="10"/>
      <c r="I15" s="10">
        <f t="shared" si="1"/>
        <v>0</v>
      </c>
    </row>
    <row r="16" spans="1:9">
      <c r="A16" s="7"/>
      <c r="B16" s="7"/>
      <c r="C16" s="7"/>
      <c r="D16" s="8"/>
      <c r="E16" s="9"/>
      <c r="F16" s="10"/>
      <c r="G16" s="10">
        <f t="shared" si="0"/>
        <v>0</v>
      </c>
      <c r="H16" s="10"/>
      <c r="I16" s="10">
        <f t="shared" si="1"/>
        <v>0</v>
      </c>
    </row>
    <row r="17" spans="1:9">
      <c r="A17" s="7"/>
      <c r="B17" s="7"/>
      <c r="C17" s="7"/>
      <c r="D17" s="8"/>
      <c r="E17" s="9"/>
      <c r="F17" s="10"/>
      <c r="G17" s="10">
        <f t="shared" si="0"/>
        <v>0</v>
      </c>
      <c r="H17" s="10"/>
      <c r="I17" s="10">
        <f t="shared" si="1"/>
        <v>0</v>
      </c>
    </row>
    <row r="18" spans="1:9">
      <c r="A18" s="7"/>
      <c r="B18" s="7"/>
      <c r="C18" s="7"/>
      <c r="D18" s="8"/>
      <c r="E18" s="9"/>
      <c r="F18" s="10"/>
      <c r="G18" s="10">
        <f t="shared" si="0"/>
        <v>0</v>
      </c>
      <c r="H18" s="10"/>
      <c r="I18" s="10">
        <f t="shared" si="1"/>
        <v>0</v>
      </c>
    </row>
    <row r="19" spans="1:9">
      <c r="A19" s="7"/>
      <c r="B19" s="7"/>
      <c r="C19" s="7"/>
      <c r="D19" s="8"/>
      <c r="E19" s="9"/>
      <c r="F19" s="10"/>
      <c r="G19" s="10">
        <f t="shared" si="0"/>
        <v>0</v>
      </c>
      <c r="H19" s="10"/>
      <c r="I19" s="10">
        <f t="shared" si="1"/>
        <v>0</v>
      </c>
    </row>
    <row r="20" spans="1:9">
      <c r="A20" s="7"/>
      <c r="B20" s="7"/>
      <c r="C20" s="7"/>
      <c r="D20" s="8"/>
      <c r="E20" s="9"/>
      <c r="F20" s="10"/>
      <c r="G20" s="10">
        <f t="shared" si="0"/>
        <v>0</v>
      </c>
      <c r="H20" s="10"/>
      <c r="I20" s="10">
        <f t="shared" si="1"/>
        <v>0</v>
      </c>
    </row>
    <row r="21" spans="1:9">
      <c r="A21" s="7"/>
      <c r="B21" s="7"/>
      <c r="C21" s="7"/>
      <c r="D21" s="8"/>
      <c r="E21" s="9"/>
      <c r="F21" s="10"/>
      <c r="G21" s="10">
        <f t="shared" si="0"/>
        <v>0</v>
      </c>
      <c r="H21" s="10"/>
      <c r="I21" s="10">
        <f t="shared" si="1"/>
        <v>0</v>
      </c>
    </row>
    <row r="22" spans="1:9">
      <c r="A22" s="7"/>
      <c r="B22" s="7"/>
      <c r="C22" s="7"/>
      <c r="D22" s="8"/>
      <c r="E22" s="9"/>
      <c r="F22" s="10"/>
      <c r="G22" s="10">
        <f t="shared" si="0"/>
        <v>0</v>
      </c>
      <c r="H22" s="10"/>
      <c r="I22" s="10">
        <f t="shared" si="1"/>
        <v>0</v>
      </c>
    </row>
    <row r="23" spans="1:9">
      <c r="A23" s="7"/>
      <c r="B23" s="7"/>
      <c r="C23" s="7"/>
      <c r="D23" s="8"/>
      <c r="E23" s="9"/>
      <c r="F23" s="10"/>
      <c r="G23" s="10">
        <f t="shared" si="0"/>
        <v>0</v>
      </c>
      <c r="H23" s="10"/>
      <c r="I23" s="10">
        <f t="shared" si="1"/>
        <v>0</v>
      </c>
    </row>
    <row r="24" spans="1:9">
      <c r="A24" s="7"/>
      <c r="B24" s="7"/>
      <c r="C24" s="7"/>
      <c r="D24" s="8"/>
      <c r="E24" s="9"/>
      <c r="F24" s="10"/>
      <c r="G24" s="10">
        <f t="shared" si="0"/>
        <v>0</v>
      </c>
      <c r="H24" s="10"/>
      <c r="I24" s="10">
        <f t="shared" si="1"/>
        <v>0</v>
      </c>
    </row>
    <row r="25" spans="1:9">
      <c r="A25" s="7"/>
      <c r="B25" s="7"/>
      <c r="C25" s="7"/>
      <c r="D25" s="8"/>
      <c r="E25" s="9"/>
      <c r="F25" s="10"/>
      <c r="G25" s="10">
        <f t="shared" si="0"/>
        <v>0</v>
      </c>
      <c r="H25" s="10"/>
      <c r="I25" s="10">
        <f t="shared" si="1"/>
        <v>0</v>
      </c>
    </row>
    <row r="26" spans="1:9">
      <c r="A26" s="7"/>
      <c r="B26" s="7"/>
      <c r="C26" s="7"/>
      <c r="D26" s="8"/>
      <c r="E26" s="9"/>
      <c r="F26" s="10"/>
      <c r="G26" s="10">
        <f t="shared" si="0"/>
        <v>0</v>
      </c>
      <c r="H26" s="10"/>
      <c r="I26" s="10">
        <f t="shared" si="1"/>
        <v>0</v>
      </c>
    </row>
    <row r="27" spans="1:9">
      <c r="A27" s="7"/>
      <c r="B27" s="7"/>
      <c r="C27" s="7"/>
      <c r="D27" s="8"/>
      <c r="E27" s="9"/>
      <c r="F27" s="10"/>
      <c r="G27" s="10">
        <f t="shared" si="0"/>
        <v>0</v>
      </c>
      <c r="H27" s="10"/>
      <c r="I27" s="10">
        <f t="shared" si="1"/>
        <v>0</v>
      </c>
    </row>
    <row r="28" spans="1:9">
      <c r="A28" s="7"/>
      <c r="B28" s="7"/>
      <c r="C28" s="7"/>
      <c r="D28" s="8"/>
      <c r="E28" s="9"/>
      <c r="F28" s="10"/>
      <c r="G28" s="10">
        <f t="shared" si="0"/>
        <v>0</v>
      </c>
      <c r="H28" s="10"/>
      <c r="I28" s="10">
        <f t="shared" si="1"/>
        <v>0</v>
      </c>
    </row>
    <row r="29" spans="1:9">
      <c r="A29" s="7"/>
      <c r="B29" s="7"/>
      <c r="C29" s="7"/>
      <c r="D29" s="8"/>
      <c r="E29" s="9"/>
      <c r="F29" s="10"/>
      <c r="G29" s="10">
        <f t="shared" si="0"/>
        <v>0</v>
      </c>
      <c r="H29" s="10"/>
      <c r="I29" s="10">
        <f t="shared" si="1"/>
        <v>0</v>
      </c>
    </row>
    <row r="30" spans="1:9" ht="15.6">
      <c r="A30" s="11"/>
      <c r="B30" s="11"/>
      <c r="C30" s="11"/>
      <c r="D30" s="12"/>
      <c r="E30" s="14" t="s">
        <v>33</v>
      </c>
      <c r="F30" s="15"/>
      <c r="G30" s="15"/>
      <c r="H30" s="16"/>
      <c r="I30" s="13">
        <f>SUM(I5:I29)</f>
        <v>0</v>
      </c>
    </row>
    <row r="31" spans="1:9" ht="15.6">
      <c r="A31" s="11"/>
      <c r="B31" s="11"/>
      <c r="C31" s="11"/>
      <c r="D31" s="12"/>
      <c r="E31" s="14" t="s">
        <v>34</v>
      </c>
      <c r="F31" s="15"/>
      <c r="G31" s="15"/>
      <c r="H31" s="16"/>
      <c r="I31" s="13">
        <f>(I$30)/1000</f>
        <v>0</v>
      </c>
    </row>
  </sheetData>
  <mergeCells count="5">
    <mergeCell ref="C1:I1"/>
    <mergeCell ref="C2:I2"/>
    <mergeCell ref="C3:I3"/>
    <mergeCell ref="E30:H30"/>
    <mergeCell ref="E31:H31"/>
  </mergeCells>
  <phoneticPr fontId="6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ocessed xmlns="5d8d70da-87e7-4560-9e4e-7ad9f5b4b5f9">true</Processed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10BA4DD7C94E49B7D60788C5F999A9" ma:contentTypeVersion="4" ma:contentTypeDescription="Een nieuw document maken." ma:contentTypeScope="" ma:versionID="e19611bc2a5cbf99d0e6eba4a09ccd1a">
  <xsd:schema xmlns:xsd="http://www.w3.org/2001/XMLSchema" xmlns:xs="http://www.w3.org/2001/XMLSchema" xmlns:p="http://schemas.microsoft.com/office/2006/metadata/properties" xmlns:ns2="5d8d70da-87e7-4560-9e4e-7ad9f5b4b5f9" targetNamespace="http://schemas.microsoft.com/office/2006/metadata/properties" ma:root="true" ma:fieldsID="74f6227be89e2ecc7e37389e9765b561" ns2:_="">
    <xsd:import namespace="5d8d70da-87e7-4560-9e4e-7ad9f5b4b5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Processed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8d70da-87e7-4560-9e4e-7ad9f5b4b5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Processed" ma:index="11" ma:displayName="Processed" ma:default="0" ma:format="Dropdown" ma:internalName="Processed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0703476-1C84-47FD-B490-F3539BF3230D}"/>
</file>

<file path=customXml/itemProps2.xml><?xml version="1.0" encoding="utf-8"?>
<ds:datastoreItem xmlns:ds="http://schemas.openxmlformats.org/officeDocument/2006/customXml" ds:itemID="{42DB42DB-3CFB-40F5-838F-DFDB7F649D04}"/>
</file>

<file path=customXml/itemProps3.xml><?xml version="1.0" encoding="utf-8"?>
<ds:datastoreItem xmlns:ds="http://schemas.openxmlformats.org/officeDocument/2006/customXml" ds:itemID="{ED088DBA-2885-4D79-893D-BF0A4F672FD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Lena Lamsberg</dc:creator>
  <cp:keywords/>
  <dc:description/>
  <cp:lastModifiedBy>Lena Lamsberg</cp:lastModifiedBy>
  <cp:revision/>
  <dcterms:created xsi:type="dcterms:W3CDTF">2023-12-13T14:25:46Z</dcterms:created>
  <dcterms:modified xsi:type="dcterms:W3CDTF">2026-03-05T10:13:51Z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0x0101008B10BA4DD7C94E49B7D60788C5F999A9</vt:lpwstr>
  </property>
</Properties>
</file>